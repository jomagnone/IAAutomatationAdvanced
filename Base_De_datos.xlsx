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605592\Mi unidad\Facu\Cursos\IA Automation\IA Automatation Avanzado\Entregas\Archivos\"/>
    </mc:Choice>
  </mc:AlternateContent>
  <xr:revisionPtr revIDLastSave="0" documentId="13_ncr:1_{D51D5410-F02D-4EE7-8701-3AA396691EAC}" xr6:coauthVersionLast="47" xr6:coauthVersionMax="47" xr10:uidLastSave="{00000000-0000-0000-0000-000000000000}"/>
  <bookViews>
    <workbookView xWindow="-96" yWindow="-96" windowWidth="23232" windowHeight="13872" tabRatio="620" activeTab="7" xr2:uid="{00000000-000D-0000-FFFF-FFFF00000000}"/>
  </bookViews>
  <sheets>
    <sheet name="RAG" sheetId="1" r:id="rId1"/>
    <sheet name="CLIENTS" sheetId="2" r:id="rId2"/>
    <sheet name="REQUEST" sheetId="3" r:id="rId3"/>
    <sheet name="JUDGE" sheetId="4" r:id="rId4"/>
    <sheet name="WORKER" sheetId="5" r:id="rId5"/>
    <sheet name="ERRORS" sheetId="6" r:id="rId6"/>
    <sheet name="DASHBOARD" sheetId="9" r:id="rId7"/>
    <sheet name="DER" sheetId="7"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8" i="9" l="1"/>
  <c r="A58" i="9"/>
  <c r="B57" i="9"/>
  <c r="A57" i="9"/>
  <c r="B56" i="9"/>
  <c r="A56" i="9"/>
  <c r="B55" i="9"/>
  <c r="A55" i="9"/>
  <c r="B54" i="9"/>
  <c r="A54" i="9"/>
  <c r="B53" i="9"/>
  <c r="A53" i="9"/>
  <c r="B52" i="9"/>
  <c r="A52" i="9"/>
  <c r="B51" i="9"/>
  <c r="A51" i="9"/>
  <c r="B50" i="9"/>
  <c r="A50" i="9"/>
  <c r="B49" i="9"/>
  <c r="B59" i="9" s="1"/>
  <c r="A49" i="9"/>
  <c r="B44" i="9"/>
  <c r="B43" i="9"/>
  <c r="B42" i="9"/>
  <c r="B38" i="9"/>
  <c r="B37" i="9"/>
  <c r="B36" i="9"/>
  <c r="B35" i="9"/>
  <c r="B34" i="9"/>
  <c r="B33" i="9"/>
  <c r="B32" i="9"/>
  <c r="B31" i="9"/>
  <c r="B30" i="9"/>
  <c r="B26" i="9"/>
  <c r="B25" i="9"/>
  <c r="B23" i="9"/>
  <c r="C23" i="9" s="1"/>
  <c r="B22" i="9"/>
  <c r="C22" i="9" s="1"/>
  <c r="B21" i="9"/>
  <c r="C21" i="9" s="1"/>
  <c r="B17" i="9"/>
  <c r="C17" i="9" s="1"/>
  <c r="B16" i="9"/>
  <c r="C16" i="9" s="1"/>
  <c r="B15" i="9"/>
  <c r="C15" i="9" s="1"/>
  <c r="B14" i="9"/>
  <c r="C14" i="9" s="1"/>
  <c r="B13" i="9"/>
  <c r="C13" i="9" s="1"/>
  <c r="B9" i="9"/>
  <c r="B8" i="9"/>
  <c r="B7" i="9"/>
  <c r="B6" i="9"/>
  <c r="B5" i="9"/>
  <c r="B4" i="9"/>
  <c r="F5" i="6"/>
  <c r="F4" i="6"/>
  <c r="F3" i="6"/>
  <c r="F2" i="6"/>
  <c r="M7" i="4"/>
  <c r="M6" i="4"/>
  <c r="M5" i="4"/>
  <c r="M4" i="4"/>
  <c r="M3" i="4"/>
  <c r="M2" i="4"/>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sharedStrings.xml><?xml version="1.0" encoding="utf-8"?>
<sst xmlns="http://schemas.openxmlformats.org/spreadsheetml/2006/main" count="681" uniqueCount="349">
  <si>
    <t>ID_PRODUCT</t>
  </si>
  <si>
    <t>PRODUCTO</t>
  </si>
  <si>
    <t>PRECIO</t>
  </si>
  <si>
    <t>ESTADO</t>
  </si>
  <si>
    <t>TV4827</t>
  </si>
  <si>
    <t>Smart TV Samsung 55" 4K</t>
  </si>
  <si>
    <t>Publicado</t>
  </si>
  <si>
    <t>HE1093</t>
  </si>
  <si>
    <t>Heladera Whirlpool No Frost 375L</t>
  </si>
  <si>
    <t>PC6215</t>
  </si>
  <si>
    <t>PC de Escritorio HP i5 8GB/512GB</t>
  </si>
  <si>
    <t>En Revisión</t>
  </si>
  <si>
    <t>CO3348</t>
  </si>
  <si>
    <t>Cocina Longvie 4 Hornallas</t>
  </si>
  <si>
    <t>NB7701</t>
  </si>
  <si>
    <t>Notebook Lenovo IdeaPad i5 16GB</t>
  </si>
  <si>
    <t>LR2984</t>
  </si>
  <si>
    <t>Lavarropas Drean 8kg Carga Frontal</t>
  </si>
  <si>
    <t>MO5162</t>
  </si>
  <si>
    <t>Microondas BGH 25L Grill</t>
  </si>
  <si>
    <t>AA9037</t>
  </si>
  <si>
    <t>Aire Acondicionado Split Philco 3000F</t>
  </si>
  <si>
    <t>AR4470</t>
  </si>
  <si>
    <t>Aspiradora Robot Xiaomi Mi Robot</t>
  </si>
  <si>
    <t>CA8629</t>
  </si>
  <si>
    <t>Cafetera Nespresso Essenza Mini</t>
  </si>
  <si>
    <t>ID_SESSION</t>
  </si>
  <si>
    <t>NAME</t>
  </si>
  <si>
    <t>LAST_UPDATED</t>
  </si>
  <si>
    <t>SUMMARY</t>
  </si>
  <si>
    <t>STATUS</t>
  </si>
  <si>
    <t>KEY_DATA</t>
  </si>
  <si>
    <t>MESSAGE_COUNT</t>
  </si>
  <si>
    <t>Jonathan</t>
  </si>
  <si>
    <t>2026-09-12T02:21:55.638+00:00</t>
  </si>
  <si>
    <t>El cliente (Jonathan) expresó interés en comprar una heladera en múltiples mensajes. El agente le ofreció la Heladera Whirlpool No Frost 375L a $980.000 con envío bonificado. Jonathan no respondió con confirmación ni con preferencias adicionales (tipo, capacidad, presupuesto, medidas, marca). La conversación quedó sin avance: el cliente no confirmó si quiere esa heladera, no aclaró si busca otra opción, y no realizó ninguna acción concreta. También se mencionó un Microondas BGH 25L Grill a $185.000 en una consulta intermedia, pero no hubo seguimiento sobre ese producto. El caso está pendiente: el cliente no respondió los últimos mensajes del agente.</t>
  </si>
  <si>
    <t>["Nombre del cliente: Jonathan","Producto principal de interés: Heladera","Opción ofrecida: Heladera Whirlpool No Frost 375L — $980.000 — Código HE1093","URL de compra heladera: https://www.tutienda.com/comprar/HE1093","Producto secundario mencionado: Microondas BGH 25L Grill — $185.000 — Código MO5162","URL de compra microondas: https://www.tutienda.com/comprar/MO5162","Envío bonificado: AMBA/CABA 48hs, interior 5 días hábiles","No se obtuvo información sobre: tipo de heladera, capacidad deseada, presupuesto, medidas, marca preferida","Estado: cliente no confirmó compra ni respondió últimos mensajes"]</t>
  </si>
  <si>
    <t>ID_REQUEST</t>
  </si>
  <si>
    <t>ES_MULTIPRODUCTO</t>
  </si>
  <si>
    <t>QUESTION</t>
  </si>
  <si>
    <t>ANSWER</t>
  </si>
  <si>
    <t>STATUS_RAW</t>
  </si>
  <si>
    <t>STATUS_NORMALIZADO</t>
  </si>
  <si>
    <t>estado_veredicto</t>
  </si>
  <si>
    <t>hola quiero una caftera</t>
  </si>
  <si>
    <t>Hola, gracias por tu consulta. En nuestro catálogo tenemos la siguiente opción:
- Cafetera Nespresso Essenza Mini — $95.000
Es la única cafetera disponible en el catálogo. ¿Querés que la reserve o te envío más detalles del modelo?</t>
  </si>
  <si>
    <t>Aprobado</t>
  </si>
  <si>
    <t>APROBADO</t>
  </si>
  <si>
    <t>hola, quiero un aire acondicionado</t>
  </si>
  <si>
    <t>Hola, gracias por tu consulta. En nuestro catálogo tenemos: Aire Acondicionado Split Philco 3000F — $720.000. Es el único equipo de aire acondicionado disponible actualmente en el catálogo. ¿Querés que lo reserve o necesitás más información?</t>
  </si>
  <si>
    <t>hola, quiero comprar una cafetera</t>
  </si>
  <si>
    <t>Hola, gracias por tu consulta. En nuestro catálogo tenemos: Cafetera Nespresso Essenza Mini — $95.000. Es la única cafetera disponible actualmente en el catálogo. ¿Querés que la reserve o necesitás más información sobre el producto?</t>
  </si>
  <si>
    <t>me interesa saber sobre labarropas, que tenes a la venta?</t>
  </si>
  <si>
    <t>Hola, gracias por tu consulta. Tenemos disponible: Lavarropas Drean 8kg Carga Frontal — $580.000 (id: LR2984). Es el único lavarropas en el catálogo actualmente. ¿Querés que lo reserve o necesitás más información?</t>
  </si>
  <si>
    <t>quiero comprar una heladera ahora</t>
  </si>
  <si>
    <t>Hola, gracias por tu consulta. En nuestro catálogo tenemos la Heladera Whirlpool No Frost 375L — $980.000 (id: HE1093). Es la única heladera disponible actualmente en el catálogo. ¿Querés que la reserve o necesitás más información sobre pago/envío?</t>
  </si>
  <si>
    <t>Cancelado</t>
  </si>
  <si>
    <t>CANCELADO</t>
  </si>
  <si>
    <t>TV4827,HE1093,CO3348,LR2984,MO5162,AA9037,AR4470,CA8629</t>
  </si>
  <si>
    <t>necesito comprar algo, q podes venderme?</t>
  </si>
  <si>
    <t>Hola, gracias por consultarnos. Podemos ofrecerte estos productos del catálogo:
- Smart TV Samsung 55" 4K — $650.000 (id: TV4827)
- Heladera Whirlpool No Frost 375L — $980.000 (id: HE1093)
- Cocina Longvie 4 Hornallas — $310.000 (id: CO3348)
- Lavarropas Drean 8kg Carga Frontal — $580.000 (id: LR2984)
- Microondas BGH 25L Grill — $185.000 (id: MO5162)
- Aire Acondicionado Split Philco 3000F — $720.000 (id: AA9037)
- Aspiradora Robot Xiaomi Mi Robot — $410.000 (id: AR4470)
- Cafetera Nespresso Essenza Mini — $95.000 (id: CA8629)
¿Querés que te recomiende según tu presupuesto o necesidad (cocina, limpieza, clima, entretenimiento), o reservamos alguno?</t>
  </si>
  <si>
    <t>quiero una aspiradora</t>
  </si>
  <si>
    <t>Hola, gracias por tu consulta. En nuestro catálogo tenemos la Aspiradora Robot Xiaomi Mi Robot — $410.000 (id: AR4470). Es la única aspiradora disponible actualmente en el catálogo. ¿Querés que la reserve o necesitás más información sobre pago/envío?</t>
  </si>
  <si>
    <t>quiero una notebook</t>
  </si>
  <si>
    <t>Hola, gracias por tu consulta. En este momento no contamos con notebooks en nuestro catálogo, por lo que no puedo brindarte precio ni modelo. Puedo avisarte cuando tengamos stock de notebooks o ayudarte a ver otras opciones del catálogo (Smart TV, heladera, lavarropas, microondas, aire, aspiradora, cafetera). ¿Querés que te avise cuando ingrese una notebook o preferís ver alternativas ahora?</t>
  </si>
  <si>
    <t>davacsvsBwB</t>
  </si>
  <si>
    <t>Hola, gracias por tu mensaje. No pude identificar qué producto querés con "davacsvsBwB". ¿Podés aclararme qué tipo de producto buscás (por ejemplo: heladera, lavarropas, TV, microondas)? Si preferís, te envío el catálogo completo disponible ahora.</t>
  </si>
  <si>
    <t>quiero comprar algo</t>
  </si>
  <si>
    <t>Perfecto — ¿qué tipo de producto querés comprar? Por ejemplo: heladera, lavarropas, aire acondicionado, cocina/estufa, microondas, televisor, aspiradora u otro. Si ya tenés marca, tamaño/capacidad o un rango de precio avisame también.</t>
  </si>
  <si>
    <t>algo para preparar infusiones</t>
  </si>
  <si>
    <t>Encontré: Cafetera Nespresso Essenza Mini — $95.000. Como alternativa disponible para calentar agua está el Microondas BGH 25L Grill — $185.000. ¿Querés que te prepare el presupuesto formal con alguno de estos?</t>
  </si>
  <si>
    <t>quiero comprar algo de menos de $100.000</t>
  </si>
  <si>
    <t>Perfecto — encontré: Cafetera Nespresso Essenza Mini — $95.000. Es la única opción en el catálogo por debajo de $100.000. Como alternativa (más cara) está el Microondas BGH 25L Grill — $185.000. ¿Querés que te prepare el presupuesto formal de la cafetera?</t>
  </si>
  <si>
    <t>Encontré: Cafetera Nespresso Essenza Mini — $95.000 (ID: CA8629). Es la única opción en el catálogo por debajo de $100.000. Alternativa disponible fuera del rango: Microondas BGH 25L Grill — $185.000 (ID: MO5162). ¿Querés que te prepare el presupuesto formal de la cafetera?</t>
  </si>
  <si>
    <t>en analisis</t>
  </si>
  <si>
    <t>EN_PROCESO</t>
  </si>
  <si>
    <t>quiero comprar algo, que me recomendas?</t>
  </si>
  <si>
    <t>Genial — para recomendarte mejor, ¿qué tipo de producto buscás? Elegí una de estas opciones o contame presupuesto y uso: 1) Televisor, 2) Heladera, 3) Cocina/anafe, 4) Lavarropas, 5) Microondas, 6) Aire acondicionado, 7) Aspiradora robot, 8) Cafetera. También podés decirme un rango de precio o si lo querés para casa pequeña, departamento, cocina completa, etc.</t>
  </si>
  <si>
    <t>Respuesta Automatica</t>
  </si>
  <si>
    <t>quiero el presupuesto de la tv</t>
  </si>
  <si>
    <t>Perfecto — encontré: Smart TV Samsung 55" 4K — $650.000 (ID: TV4827). Es la única TV publicada en el catálogo actualmente. ¿Querés que te prepare el presupuesto formal (incluyendo opciones de pago y envío)?</t>
  </si>
  <si>
    <t>hola quiero un microondas</t>
  </si>
  <si>
    <t>¡Hola! 👋 Encontramos esto para vos:
🍽️ Microondas BGH 25L Grill
💰 $185.000
🚚 Envío por Correo Argentino:
   • AMBA y Capital Federal: 48 hs
   • Interior del país: 5 días hábiles
   • ¡El envío está bonificado con la compra! 🎉
🛒 Comprá ahora mismo en nuestra web:
👉 https://www.tutienda.com/comprar/MO5162</t>
  </si>
  <si>
    <t>hola quiero comprar algo</t>
  </si>
  <si>
    <t>¡Hola! 👋 ¿Qué te gustaría comprar? Para ayudarte mejor, contame por favor:
1) Tipo de producto (elegí una): 🧊 Heladera, 🧺 Lavarropa, 🔥 Cocina/Anafe, 🍽️ Microondas, ❄️ Aire acondicionado, 📺 TV, 💡 Pequeños electrodomésticos u Otro.
2) Marca preferida y/o capacidad/tamaño (si lo sabés).
3) Presupuesto aproximado o rango de precio.
4) Dónde lo recibirías: AMBA/Capital Federal o Interior del país.
Ejemplo de respuesta: "Heladera, Whirlpool, 300L, hasta $250000, AMBA"</t>
  </si>
  <si>
    <t>una heladera</t>
  </si>
  <si>
    <t>¡Perfecto! 🧊 Te paso el presupuesto de la heladera que tenemos disponible:
• Heladera Whirlpool No Frost 375L — $980.000
🚚 Envío por Correo Argentino:
   • AMBA y Capital Federal: 48 hs
   • Interior del país: 5 días hábiles
   • ¡El envío está bonificado con la compra! 🎉
🛒 Comprá ahora mismo en nuestra web:
👉 https://www.tutienda.com/comprar/HE1093
¿Querés que te gestione la reserva o preferís que un asesor te contacte para coordinar detalles? 🤝</t>
  </si>
  <si>
    <t>quiero comprar un producto</t>
  </si>
  <si>
    <t>¡Perfecto! ¿Qué producto querés comprar? Podés decirme la categoría o modelo (por ejemplo: heladera, lavarropas, TV, aire acondicionado, microondas, etc.).
Algunas preguntas rápidas para afinar la búsqueda:
• ¿Tenés alguna marca preferida?
• ¿Qué capacidad o tamaño necesitás (ej. 300L, 8 kg, 55")?
• ¿Cuál es tu rango de presupuesto aproximado?
• ¿Querés envío e instalación?
Respondeme con cualquiera de estos datos y busco las opciones disponibles.</t>
  </si>
  <si>
    <t>quiero un microondas</t>
  </si>
  <si>
    <t>🔎 Encontré este microondas para vos:
• Microondas BGH 25L Grill
  - Capacidad: 25 L
  - Función: Grill
  - Precio: $185.000
  - Código: MO5162
🛒 Comprá ahora mismo en nuestra web:
👉 https://www.tutienda.com/comprar/MO5162
🚚 Envío por Correo Argentino:
  • AMBA y Capital Federal: 48 hs
  • Interior del país: 5 días hábiles
  • ¡El envío está bonificado con la compra! 🎉
¿Querés que lo reserve y te contacte para coordinar pago y envío? 😊</t>
  </si>
  <si>
    <t>58576891-ad4f1987-df5f03e2</t>
  </si>
  <si>
    <t>hola quiero comprar una heladera</t>
  </si>
  <si>
    <t>¡Hola Jonathan! 👋 Gracias por escribir. Para recomendarte la heladera ideal, ¿podés decirme qué preferís? Respondé con los números o la info que tengas:
1) Tipo:
 • 1 — Freezer arriba (2 puertas) 🧊
 • 2 — Combi / freezer abajo 🧊
 • 3 — No-Frost (sin escarcha) ❄️
 • 4 — Side-by-side / French door (gran capacidad) 🚪
2) Capacidad aproximada:
 • A — 200–300 L (pareja / departamento)
 • B — 300–500 L (familia)
 • C — &gt;500 L (muy grande)
3) ¿Tenés preferencia de marca o color?
4) ¿Necesitás que tenga medidas exactas para que entre en un hueco? (alto x ancho x profundo)
5) ¿Cuál es tu presupuesto aproximado?
Contame lo que puedas y yo busco modelos y precios publicados. 🧊</t>
  </si>
  <si>
    <t>PEDIR_INFORMACION</t>
  </si>
  <si>
    <t>58bffee1-ac6fb18f-74110d78</t>
  </si>
  <si>
    <t>¡Hola Jonathan! 👋 ¡Qué gusto tenerte por acá!
Encontré la siguiente heladera disponible en nuestro catálogo:
🧊 **Heladera Whirlpool No Frost 375L**
💰 Precio: **$980.000**
🚚 Envío por Correo Argentino:
   • AMBA y Capital Federal: 48 hs
   • Interior del país: 5 días hábiles
   • ¡El envío está bonificado con la compra! 🎉
🛒 Comprá ahora mismo en nuestra web:
👉 https://www.tutienda.com/comprar/HE1093
¿Te interesa avanzar con esta opción, Jonathan? Un representante de nuestro equipo va a revisar tu consulta y te va a confirmar todo en breve. 😊</t>
  </si>
  <si>
    <t>ENVIAR_PROPUESTA</t>
  </si>
  <si>
    <t>92a3d151-ef88f289-75e5b709</t>
  </si>
  <si>
    <t>Quiero comprar una heladera</t>
  </si>
  <si>
    <t>¡Hola Jonathan! 👋 ¡Qué bueno saber que querés avanzar con la heladera! 🧊
Te comparto nuevamente el detalle de la opción que tenemos disponible:
🧊 **Heladera Whirlpool No Frost 375L**
💰 Precio: **$980.000**
🚚 Envío por Correo Argentino:
   • AMBA y Capital Federal: 48 hs
   • Interior del país: 5 días hábiles
   • ¡El envío está bonificado con la compra! 🎉
🛒 Comprá ahora mismo en nuestra web:
👉 https://www.tutienda.com/comprar/HE1093
¿Querés que un representante te contacte para confirmar la compra o tenés alguna otra consulta? 😊</t>
  </si>
  <si>
    <t>936b5ebf-d5d7f78e-109d62c3</t>
  </si>
  <si>
    <t>¡Hola Jonathan! 👋 ¡Qué bueno verte de nuevo por acá!
Te cuento que la última vez estuvimos charlando sobre heladeras y te había acercado una opción que puede interesarte. 😊
🧊 **Heladera Whirlpool No Frost 375L**
💰 Precio: **$980.000**
✅ Disponible
🚚 Envío por Correo Argentino:
   • AMBA y Capital Federal: 48 hs
   • Interior del país: 5 días hábiles
   • ¡El envío está bonificado con la compra! 🎉
🛒 Comprá ahora mismo en nuestra web:
👉 https://www.tutienda.com/comprar/HE1093
¿Querés avanzar con esta opción, o preferís que te busque alternativas? ¡Estoy acá para ayudarte! 💪</t>
  </si>
  <si>
    <t>c0fe9047-99fa3648-73445af0</t>
  </si>
  <si>
    <t>quiero comprar un microondas</t>
  </si>
  <si>
    <t>¡Hola Jonathan! 👋 ¡Excelente elección! 🎉 Tenemos justo lo que estás buscando:
---
📦 **Microondas BGH 25L Grill**
💰 Precio: **$185.000**
✅ Con función Grill incluida
✅ Listo para usar apenas lo recibís — ¡sin instalación técnica necesaria!
---
🚚 Envío por Correo Argentino:
   • AMBA y Capital Federal: 48 hs
   • Interior del país: 5 días hábiles
   • ¡El envío está bonificado con la compra! 🎉
---
🛒 Comprá ahora mismo en nuestra web:
👉 https://www.tutienda.com/comprar/MO5162
¿Querés que también te confirme el presupuesto de la heladera que habíamos visto antes? 😊</t>
  </si>
  <si>
    <t>ACEPTADO</t>
  </si>
  <si>
    <t>c19cd117-32043124-cd1fcd12</t>
  </si>
  <si>
    <t>¡Hola Jonathan! 👋 ¡Buenas noticias! Ya tenemos el microondas que buscás. Te armo el presupuesto ahora mismo 😊
---
📦 **Microondas BGH 25L Grill**
💰 Precio: **$185.000**
✅ Disponibilidad: En stock
---
🚚 Envío por Correo Argentino:
   • AMBA y Capital Federal: 48 hs
   • Interior del país: 5 días hábiles
   • ¡El envío está bonificado con la compra! 🎉
---
🛒 Comprá ahora mismo en nuestra web:
👉 https://www.tutienda.com/comprar/MO5162
¿Tenés alguna consulta adicional? ¡Estoy a tu disposición! 😊</t>
  </si>
  <si>
    <t>¡Hola Jonathan! 👋 ¿En qué producto de electrodomésticos estás interesado? Por favor, dime el nombre o la categoría y con gusto te envío el presupuesto.</t>
  </si>
  <si>
    <t>CONTEXT</t>
  </si>
  <si>
    <t>UMBRAL</t>
  </si>
  <si>
    <t>inconsistencias_detectadas</t>
  </si>
  <si>
    <t>afirmaciones_sin_respaldo</t>
  </si>
  <si>
    <t>justificacion</t>
  </si>
  <si>
    <t>categoria_error</t>
  </si>
  <si>
    <t>exactitud_factual</t>
  </si>
  <si>
    <t>critica</t>
  </si>
  <si>
    <t>verbosidad_excesiva</t>
  </si>
  <si>
    <t>TRYS</t>
  </si>
  <si>
    <t>datetime</t>
  </si>
  <si>
    <t>[]</t>
  </si>
  <si>
    <t>La respuesta propuesta está vacía y no contiene contenido evaluable. Esto activa causal de rechazo automático por ausencia total de respuesta.</t>
  </si>
  <si>
    <t>AFIRMACION_SIN_RESPALDO</t>
  </si>
  <si>
    <t>RECHAZADO</t>
  </si>
  <si>
    <t>2026-09-21T01:20:13.933+00:00</t>
  </si>
  <si>
    <t>["El contexto recuperado menciona un Microondas BGH 25L Grill a $185.000, pero no aporta respaldo para la afirmación adicional de que tiene función Grill incluida ni para que esté listo para usar sin instalación técnica necesaria."]</t>
  </si>
  <si>
    <t>["Con función Grill incluida","Listo para usar apenas lo recibís — sin instalación técnica necesaria"]</t>
  </si>
  <si>
    <t>El producto y el precio principales coinciden con el contexto recuperado, por lo que el núcleo del presupuesto está sostenido. Sin embargo, la respuesta agrega dos afirmaciones técnicas adicionales que no aparecen respaldadas en el contexto y podrían inducir a error.</t>
  </si>
  <si>
    <t>CORREGIR</t>
  </si>
  <si>
    <t>El producto y el precio están bien, pero eliminá o respaldá las afirmaciones técnicas adicionales que no figuran en el contexto recuperado.</t>
  </si>
  <si>
    <t>2026-09-21T01:20:41.367+00:00</t>
  </si>
  <si>
    <t>¡Hola Jonathan! 👋 ¡Qué buena elección! 🍿 Tenemos el microondas ideal para vos:
---
📦 **Microondas BGH 25L Grill**
💰 Precio: **$185.000**
✅ ¡Disponible ahora!
---
🚚 Envío por Correo Argentino:
   • AMBA y Capital Federal: 48 hs
   • Interior del país: 5 días hábiles
   • ¡El envío está bonificado con la compra! 🎉
🛒 Comprá ahora mismo en nuestra web:
👉 https://www.tutienda.com/comprar/MO5162
---
💳 Además, podés pagarlo en hasta **12 cuotas sin interés** con tarjetas de crédito de bancos adheridos, o con un **10% de descuento adicional** pagando por transferencia bancaria. 💸
¿Querés avanzar con este microondas, Jonathan? ¡Estoy para ayudarte! 😊</t>
  </si>
  <si>
    <t>["podés pagarlo en hasta 12 cuotas sin interés con tarjetas de crédito de bancos adheridos","con un 10% de descuento adicional pagando por transferencia bancaria"]</t>
  </si>
  <si>
    <t>El producto y el precio del microondas coinciden con el contexto recuperado. Sin embargo, la respuesta agrega condiciones de pago y descuento que no aparecen en el contexto y podrían inducir a error. El resto del contenido estructural obligatorio no se evalúa como inconsistencia.</t>
  </si>
  <si>
    <t>El producto y el precio están bien, pero eliminá las condiciones de pago y el descuento porque no figuran en el contexto recuperado.</t>
  </si>
  <si>
    <t>2026-09-21T01:39:20.413+00:00</t>
  </si>
  <si>
    <t>¡Hola Jonathan! 👋 ¡Perfecto, te ayudo con el microondas!
Tenemos disponible la siguiente opción:
📦 **Microondas BGH 25L Grill**
💰 Precio: **$185.000**
✅ Disponibilidad: En stock
🚚 Envío por Correo Argentino:
   • AMBA y Capital Federal: 48 hs
   • Interior del país: 5 días hábiles
   • ¡El envío está bonificado con la compra! 🎉
🛒 Comprá ahora mismo en nuestra web:
👉 https://www.tutienda.com/comprar/MO5162
¿Te interesa este modelo? ¡Cualquier duda estoy acá! 😊</t>
  </si>
  <si>
    <t>La respuesta ofrece un microondas y un precio que aparecen en el contexto recuperado. El resto corresponde a contenido estructural exento o a tono comercial habitual, por lo que no hay discrepancias factuales relevantes.</t>
  </si>
  <si>
    <t>NINGUNA</t>
  </si>
  <si>
    <t>2026-09-21T01:41:01.670+00:00</t>
  </si>
  <si>
    <t>La respuesta menciona un microondas y un precio que aparecen en el contexto recuperado, y el ID del enlace también coincide con el producto referido. El bloque de envío y la mención de stock forman parte del contenido estructural exento, por lo que no afectan la evaluación factual.</t>
  </si>
  <si>
    <t>2026-09-21T01:50:35.059+00:00</t>
  </si>
  <si>
    <t>La respuesta menciona un microondas y un precio que aparecen en el contexto recuperado, y el resto corresponde a contenido estructural exento o tono comercial. No se detectan discrepancias factuales relevantes respecto del contexto disponible.</t>
  </si>
  <si>
    <t>2026-09-21T02:02:51.271+00:00</t>
  </si>
  <si>
    <t>DATE_TIME</t>
  </si>
  <si>
    <t>WORKER</t>
  </si>
  <si>
    <t>CODE</t>
  </si>
  <si>
    <t>2026-08-31T17:50:35.766+00:00</t>
  </si>
  <si>
    <t>OBSERVABILIDAD</t>
  </si>
  <si>
    <t>2026-08-31T17:52:01.693+00:00</t>
  </si>
  <si>
    <t>59009129-4e476787-9b8a6bdd</t>
  </si>
  <si>
    <t>2026-08-31T18:07:15.269+00:00</t>
  </si>
  <si>
    <t>2026-08-31T18:21:59.574+00:00</t>
  </si>
  <si>
    <t>590f8333-a9b56389-cf277059</t>
  </si>
  <si>
    <t>2026-08-31T18:23:14.315+00:00</t>
  </si>
  <si>
    <t>2026-08-31T18:23:24.938+00:00</t>
  </si>
  <si>
    <t>591075bb-4e6acc9d-340da384</t>
  </si>
  <si>
    <t>2026-08-31T18:24:16.771+00:00</t>
  </si>
  <si>
    <t>2026-08-31T18:24:29.315+00:00</t>
  </si>
  <si>
    <t>5911338b-9d191349-4a395e82</t>
  </si>
  <si>
    <t>2026-08-31T18:25:09.079+00:00</t>
  </si>
  <si>
    <t>2026-08-31T18:25:21.503+00:00</t>
  </si>
  <si>
    <t>2026-08-31T18:25:23.351+00:00</t>
  </si>
  <si>
    <t>739c9188-287ab9ec-540e9d19</t>
  </si>
  <si>
    <t>2026-09-05T22:10:12.972+00:00</t>
  </si>
  <si>
    <t>2026-09-05T22:12:02.275+00:00</t>
  </si>
  <si>
    <t>2026-09-05T22:13:17.146+00:00</t>
  </si>
  <si>
    <t>73fffa72-d574002d-32c698a7</t>
  </si>
  <si>
    <t>2026-09-05T23:56:09.525+00:00</t>
  </si>
  <si>
    <t>2026-09-05T23:56:23.604+00:00</t>
  </si>
  <si>
    <t>74019b27-4523a166-a8af02a2</t>
  </si>
  <si>
    <t>2026-09-05T23:57:55.114+00:00</t>
  </si>
  <si>
    <t>2026-09-05T23:58:10.780+00:00</t>
  </si>
  <si>
    <t>7408d073-57738ee8-4a35dd91</t>
  </si>
  <si>
    <t>2026-09-06T00:05:45.102+00:00</t>
  </si>
  <si>
    <t>2026-09-06T00:05:58.355+00:00</t>
  </si>
  <si>
    <t>2026-09-06T00:06:00.196+00:00</t>
  </si>
  <si>
    <t>740a571d-6dc84eb0-cf41dfab</t>
  </si>
  <si>
    <t>2026-09-06T00:07:24.345+00:00</t>
  </si>
  <si>
    <t>2026-09-06T00:07:37.432+00:00</t>
  </si>
  <si>
    <t>2026-09-06T00:07:41.376+00:00</t>
  </si>
  <si>
    <t>740dd036-2226c8ae-95678d25</t>
  </si>
  <si>
    <t>2026-09-06T00:11:22.822+00:00</t>
  </si>
  <si>
    <t>2026-09-06T00:11:37.519+00:00</t>
  </si>
  <si>
    <t>2026-09-06T00:11:39.055+00:00</t>
  </si>
  <si>
    <t>740f5518-80317f76-fd5bfa47</t>
  </si>
  <si>
    <t>2026-09-06T00:12:55.392+00:00</t>
  </si>
  <si>
    <t>2026-09-06T00:13:09.030+00:00</t>
  </si>
  <si>
    <t>2026-09-06T00:13:10.358+00:00</t>
  </si>
  <si>
    <t>838e11e7-eb1e18ac-5712edbb</t>
  </si>
  <si>
    <t>2026-09-09T00:25:43.452+00:00</t>
  </si>
  <si>
    <t>2026-09-09T00:25:59.398+00:00</t>
  </si>
  <si>
    <t>2026-09-09T00:26:02.716+00:00</t>
  </si>
  <si>
    <t>2026-09-11T22:43:43.557+00:00</t>
  </si>
  <si>
    <t>2026-09-11T22:43:56.847+00:00</t>
  </si>
  <si>
    <t>2026-09-11T22:44:00.748+00:00</t>
  </si>
  <si>
    <t>2026-09-12T02:21:42.886+00:00</t>
  </si>
  <si>
    <t>2026-09-12T02:21:56.270+00:00</t>
  </si>
  <si>
    <t>2026-09-12T02:21:58.110+00:00</t>
  </si>
  <si>
    <t>2026-09-20T22:01:19.854+00:00</t>
  </si>
  <si>
    <t>JUDGE</t>
  </si>
  <si>
    <t>2026-09-20T22:45:33.707+00:00</t>
  </si>
  <si>
    <t>2026-09-20T22:47:55.498+00:00</t>
  </si>
  <si>
    <t>2026-09-20T22:53:04.988+00:00</t>
  </si>
  <si>
    <t>2026-09-20T22:54:35.532+00:00</t>
  </si>
  <si>
    <t>2026-09-20T22:55:39.798+00:00</t>
  </si>
  <si>
    <t>2026-09-20T22:56:23.163+00:00</t>
  </si>
  <si>
    <t>2026-09-20T23:02:24.254+00:00</t>
  </si>
  <si>
    <t>2026-09-20T23:09:37.676+00:00</t>
  </si>
  <si>
    <t>2026-09-20T23:17:13.969+00:00</t>
  </si>
  <si>
    <t>2026-09-20T23:17:16.761+00:00</t>
  </si>
  <si>
    <t>2026-09-21T01:06:49.254+00:00</t>
  </si>
  <si>
    <t>2026-09-21T01:20:16.174+00:00</t>
  </si>
  <si>
    <t>2026-09-21T01:20:42.232+00:00</t>
  </si>
  <si>
    <t>2026-09-21T01:39:17.410+00:00</t>
  </si>
  <si>
    <t>2026-09-21T01:39:21.276+00:00</t>
  </si>
  <si>
    <t>2026-09-21T01:40:58.102+00:00</t>
  </si>
  <si>
    <t>2026-09-21T01:41:02.548+00:00</t>
  </si>
  <si>
    <t>2026-09-21T01:50:32.254+00:00</t>
  </si>
  <si>
    <t>2026-09-21T01:50:35.950+00:00</t>
  </si>
  <si>
    <t>2026-09-21T02:01:55.090+00:00</t>
  </si>
  <si>
    <t>2026-09-21T02:02:09.225+00:00</t>
  </si>
  <si>
    <t>2026-09-21T02:02:52.226+00:00</t>
  </si>
  <si>
    <t>ID_ERROR</t>
  </si>
  <si>
    <t>FECHA_HORA</t>
  </si>
  <si>
    <t>NODE</t>
  </si>
  <si>
    <t>ERROR</t>
  </si>
  <si>
    <t>ES_EJEMPLO</t>
  </si>
  <si>
    <t>8/26/2026</t>
  </si>
  <si>
    <t>Error desconocido</t>
  </si>
  <si>
    <t>2026-09-15</t>
  </si>
  <si>
    <t>AI Agent</t>
  </si>
  <si>
    <t>Timeout: la API del modelo no respondió dentro del tiempo esperado.</t>
  </si>
  <si>
    <t>2026-09-17</t>
  </si>
  <si>
    <t>Transcribe audio or video</t>
  </si>
  <si>
    <t>Fallo al transcribir el archivo de audio recibido.</t>
  </si>
  <si>
    <t>2026-09-19</t>
  </si>
  <si>
    <t>Get Context</t>
  </si>
  <si>
    <t>Error de conexión con Google Sheets al leer el historial del cliente.</t>
  </si>
  <si>
    <t>DER — Esquema Relacional del Sistema de Presupuestos Automatizados</t>
  </si>
  <si>
    <t>RAG (Catálogo de productos)</t>
  </si>
  <si>
    <t>Campo</t>
  </si>
  <si>
    <t>Tipo</t>
  </si>
  <si>
    <t>Clave</t>
  </si>
  <si>
    <t>Descripción</t>
  </si>
  <si>
    <t>texto</t>
  </si>
  <si>
    <t>PK</t>
  </si>
  <si>
    <t>Código único del producto (ej. HE1093).</t>
  </si>
  <si>
    <t>Nombre y descripción del producto.</t>
  </si>
  <si>
    <t>número</t>
  </si>
  <si>
    <t>Precio vigente (depurado: convertido de texto a número).</t>
  </si>
  <si>
    <t>'Publicado' o 'En Revisión'; solo se ofrecen los Publicados.</t>
  </si>
  <si>
    <t>CLIENTS (memoria de sesión por cliente)</t>
  </si>
  <si>
    <t>chat.id de Telegram; identifica al cliente.</t>
  </si>
  <si>
    <t>Nombre del cliente.</t>
  </si>
  <si>
    <t>fecha/hora</t>
  </si>
  <si>
    <t>Última actualización del resumen.</t>
  </si>
  <si>
    <t>Resumen consolidado de la conversación.</t>
  </si>
  <si>
    <t>Estado del caso (depurado: valor '""' vacío corregido).</t>
  </si>
  <si>
    <t>texto (lista)</t>
  </si>
  <si>
    <t>Datos clave extraídos, serializados como texto.</t>
  </si>
  <si>
    <t>Cantidad de intercambios en la sesión.</t>
  </si>
  <si>
    <t>REQUEST (registro de consultas individuales)</t>
  </si>
  <si>
    <t>Identificador único del caso (traceId). Formato mixto por evolución del proyecto: timestamps antiguos vs. hex de 3 bloques actual.</t>
  </si>
  <si>
    <t>FK → RAG</t>
  </si>
  <si>
    <t>Puede contener varios códigos separados por coma (ver ES_MULTIPRODUCTO).</t>
  </si>
  <si>
    <t>booleano</t>
  </si>
  <si>
    <t>Agregado en la depuración: True si ID_PRODUCT tiene más de un código (viola 1NF; limitación conocida del modelo actual).</t>
  </si>
  <si>
    <t>FK → CLIENTS</t>
  </si>
  <si>
    <t>Cliente que originó la consulta.</t>
  </si>
  <si>
    <t>Consulta original del cliente.</t>
  </si>
  <si>
    <t>Respuesta generada por el Manager.</t>
  </si>
  <si>
    <t>Valor crudo tal como se logueó (mezcla histórica de vocabularios; conservado para auditoría).</t>
  </si>
  <si>
    <t>Agregado en la depuración: APROBADO / CANCELADO / EN_PROCESO.</t>
  </si>
  <si>
    <t>Última copia del veredicto del Juez asociado (ver también hoja JUDGE).</t>
  </si>
  <si>
    <t>JUDGE (veredictos de AI-as-a-Judge)</t>
  </si>
  <si>
    <t>FK → REQUEST</t>
  </si>
  <si>
    <t>Puede ser nulo si la respuesta evaluada llegó vacía.</t>
  </si>
  <si>
    <t>QUESTION / ANSWER / CONTEXT</t>
  </si>
  <si>
    <t>Insumos que tuvo el Juez para evaluar.</t>
  </si>
  <si>
    <t>Máximo de reintentos permitido antes de forzar RECHAZADO.</t>
  </si>
  <si>
    <t>inconsistencias_detectadas / afirmaciones_sin_respaldo</t>
  </si>
  <si>
    <t>Arrays serializados como texto.</t>
  </si>
  <si>
    <t>justificacion / critica</t>
  </si>
  <si>
    <t>Explicación del puntaje y sugerencia de corrección.</t>
  </si>
  <si>
    <t>Una de 8 categorías cerradas (enum).</t>
  </si>
  <si>
    <t>número (1-5)</t>
  </si>
  <si>
    <t>Puntaje de exactitud.</t>
  </si>
  <si>
    <t>ACEPTADO / CORREGIR / RECHAZADO.</t>
  </si>
  <si>
    <t>Si la respuesta fue más larga de lo necesario.</t>
  </si>
  <si>
    <t>Intento número N para este caso.</t>
  </si>
  <si>
    <t>Momento del veredicto.</t>
  </si>
  <si>
    <t>WORKER (log de sub-workflows invocados)</t>
  </si>
  <si>
    <t>Caso que originó el llamado al Worker.</t>
  </si>
  <si>
    <t>Momento de la llamada.</t>
  </si>
  <si>
    <t>OBSERVABILIDAD / SUMMARY / JUDGE (typo 'OBSERBABILIDAD' corregido en la depuración).</t>
  </si>
  <si>
    <t>Código de resultado (200 = éxito).</t>
  </si>
  <si>
    <t>ERRORS (incidencias técnicas)</t>
  </si>
  <si>
    <t>Puede ser nulo si el fallo ocurrió antes de generar un caso.</t>
  </si>
  <si>
    <t>fecha</t>
  </si>
  <si>
    <t>Nodo del flujo donde ocurrió el fallo.</t>
  </si>
  <si>
    <t>Mensaje técnico del fallo.</t>
  </si>
  <si>
    <t>Agregado en la depuración: True marca las 3 filas ilustrativas agregadas, False son eventos reales.</t>
  </si>
  <si>
    <t>Relaciones</t>
  </si>
  <si>
    <t>• REQUEST.ID_PRODUCT → RAG.ID_PRODUCT (N a 1, con la limitación conocida de multi-producto en una sola celda).</t>
  </si>
  <si>
    <t>• REQUEST.ID_SESSION → CLIENTS.ID_SESSION (N a 1): varias consultas pertenecen a un mismo cliente.</t>
  </si>
  <si>
    <t>• JUDGE.ID_REQUEST → REQUEST.ID_REQUEST (1 a N): un caso puede tener varios veredictos si hubo reintentos (TRYS).</t>
  </si>
  <si>
    <t>• WORKER.ID_REQUEST → REQUEST.ID_REQUEST (1 a N): un caso genera varias llamadas a sub-workflows.</t>
  </si>
  <si>
    <t>• ERRORS.ID_REQUEST → REQUEST.ID_REQUEST (1 a N, opcional): un error puede no tener caso asociado.</t>
  </si>
  <si>
    <t>Limitaciones conocidas del modelo actual</t>
  </si>
  <si>
    <t>• Multi-producto en una sola celda (REQUEST.ID_PRODUCT): rompe la relación 1 a 1 con RAG; a futuro conviene una tabla intermedia REQUEST_PRODUCTO.</t>
  </si>
  <si>
    <t>• Evolución del formato de ID_REQUEST: los casos más antiguos usan timestamp numérico; los recientes usan un código hexadecimal de 3 bloques. Ambos son válidos como clave, pero no comparables por orden cronológico simple.</t>
  </si>
  <si>
    <t>• STATUS_RAW mezcla dos vocabularios por la evolución del proyecto (el campo ACCION del prompt terminó pisando esta columna en los casos más nuevos). Se resolvió agregando STATUS_NORMALIZADO sin destruir el dato original.</t>
  </si>
  <si>
    <t>Dashboard de KPIs — Sistema de Presupuestos Automatizados</t>
  </si>
  <si>
    <t>KPIs Generales</t>
  </si>
  <si>
    <t>Total de consultas registradas</t>
  </si>
  <si>
    <t>Clientes únicos con historial</t>
  </si>
  <si>
    <t>Total de evaluaciones del Juez</t>
  </si>
  <si>
    <t>Total de llamadas a Workers</t>
  </si>
  <si>
    <t>Errores reales registrados</t>
  </si>
  <si>
    <t>Errores ilustrativos (no productivos)</t>
  </si>
  <si>
    <t>Estado de las Consultas (STATUS_NORMALIZADO)</t>
  </si>
  <si>
    <t>Estado</t>
  </si>
  <si>
    <t>Cantidad</t>
  </si>
  <si>
    <t>%</t>
  </si>
  <si>
    <t>SIN_CLASIFICAR</t>
  </si>
  <si>
    <t>SIN_DATO</t>
  </si>
  <si>
    <t>Calidad del Juez (AI-as-a-Judge)</t>
  </si>
  <si>
    <t>Veredicto</t>
  </si>
  <si>
    <t>Exactitud factual promedio (1-5)</t>
  </si>
  <si>
    <t>Tasa de resolución autónoma (ACEPTADO)</t>
  </si>
  <si>
    <t>Categorías de Error Detectadas por el Juez</t>
  </si>
  <si>
    <t>Categoría</t>
  </si>
  <si>
    <t>PRECIO_INEXISTENTE</t>
  </si>
  <si>
    <t>PRODUCTO_INVENTADO</t>
  </si>
  <si>
    <t>CONTRADICCION</t>
  </si>
  <si>
    <t>ID_PRODUCTO_INCORRECTO</t>
  </si>
  <si>
    <t>OMISION_FORMATO</t>
  </si>
  <si>
    <t>PUNTAJE_INCOHERENTE</t>
  </si>
  <si>
    <t>Categoría de error más frecuente (excluye NINGUNA)</t>
  </si>
  <si>
    <t>Actividad de los Sub-workflows (Workers)</t>
  </si>
  <si>
    <t>Worker</t>
  </si>
  <si>
    <t>Llamadas</t>
  </si>
  <si>
    <t>Producto Más Consultado (aproximado)</t>
  </si>
  <si>
    <t>Nota: el conteo usa coincidencia de texto porque algunas consultas registran más de un producto en una sola celda (ver ES_MULTIPRODUCTO en REQUEST / limitación documentada en la hoja DER).</t>
  </si>
  <si>
    <t>Producto</t>
  </si>
  <si>
    <t>Consultas</t>
  </si>
  <si>
    <t>Producto con más consultas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</si>
</sst>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1" x14ac:knownFonts="1">
    <font>
      <sz val="11"/>
      <color theme="1"/>
      <name val="Calibri"/>
      <family val="2"/>
      <charset val="1"/>
    </font>
    <font>
      <b/>
      <sz val="10"/>
      <color rgb="FFFFFFFF"/>
      <name val="Arial"/>
      <charset val="1"/>
    </font>
    <font>
      <sz val="10"/>
      <name val="Arial"/>
      <charset val="1"/>
    </font>
    <font>
      <b/>
      <sz val="14"/>
      <color rgb="FF16213E"/>
      <name val="Arial"/>
      <charset val="1"/>
    </font>
    <font>
      <b/>
      <sz val="11"/>
      <color rgb="FFFFFFFF"/>
      <name val="Arial"/>
      <charset val="1"/>
    </font>
    <font>
      <b/>
      <sz val="9"/>
      <name val="Arial"/>
      <charset val="1"/>
    </font>
    <font>
      <b/>
      <sz val="10"/>
      <color rgb="FF993C1D"/>
      <name val="Arial"/>
      <charset val="1"/>
    </font>
    <font>
      <sz val="10"/>
      <color rgb="FF000000"/>
      <name val="Arial"/>
      <charset val="1"/>
    </font>
    <font>
      <b/>
      <sz val="11"/>
      <color rgb="FF0F3460"/>
      <name val="Arial"/>
      <charset val="1"/>
    </font>
    <font>
      <i/>
      <sz val="9"/>
      <color rgb="FF666666"/>
      <name val="Arial"/>
      <charset val="1"/>
    </font>
    <font>
      <b/>
      <sz val="12"/>
      <color rgb="FFFFFFFF"/>
      <name val="Arial"/>
      <charset val="1"/>
    </font>
  </fonts>
  <fills count="9">
    <fill>
      <patternFill patternType="none"/>
    </fill>
    <fill>
      <patternFill patternType="gray125"/>
    </fill>
    <fill>
      <patternFill patternType="solid">
        <fgColor rgb="FF0F3460"/>
        <bgColor rgb="FF16213E"/>
      </patternFill>
    </fill>
    <fill>
      <patternFill patternType="solid">
        <fgColor rgb="FFF7F7FB"/>
        <bgColor rgb="FFFFFFFF"/>
      </patternFill>
    </fill>
    <fill>
      <patternFill patternType="solid">
        <fgColor rgb="FF533489"/>
        <bgColor rgb="FF0F3460"/>
      </patternFill>
    </fill>
    <fill>
      <patternFill patternType="solid">
        <fgColor rgb="FF8A6D1F"/>
        <bgColor rgb="FF666666"/>
      </patternFill>
    </fill>
    <fill>
      <patternFill patternType="solid">
        <fgColor rgb="FFC0392B"/>
        <bgColor rgb="FF993C1D"/>
      </patternFill>
    </fill>
    <fill>
      <patternFill patternType="solid">
        <fgColor rgb="FF993C1D"/>
        <bgColor rgb="FFC0392B"/>
      </patternFill>
    </fill>
    <fill>
      <patternFill patternType="solid">
        <fgColor rgb="FF16213E"/>
        <bgColor rgb="FF0F346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2">
    <xf numFmtId="0" fontId="0" fillId="0" borderId="0" xfId="0"/>
    <xf numFmtId="0" fontId="10" fillId="2" borderId="0" xfId="0" applyFont="1" applyFill="1"/>
    <xf numFmtId="0" fontId="10" fillId="7" borderId="0" xfId="0" applyFont="1" applyFill="1"/>
    <xf numFmtId="0" fontId="10" fillId="5" borderId="0" xfId="0" applyFont="1" applyFill="1"/>
    <xf numFmtId="0" fontId="10" fillId="4" borderId="0" xfId="0" applyFont="1" applyFill="1"/>
    <xf numFmtId="0" fontId="10" fillId="8" borderId="0" xfId="0" applyFont="1" applyFill="1"/>
    <xf numFmtId="0" fontId="9" fillId="0" borderId="0" xfId="0" applyFont="1" applyAlignment="1">
      <alignment wrapText="1"/>
    </xf>
    <xf numFmtId="0" fontId="2" fillId="0" borderId="0" xfId="0" applyFont="1" applyAlignment="1">
      <alignment wrapText="1"/>
    </xf>
    <xf numFmtId="0" fontId="4" fillId="6" borderId="0" xfId="0" applyFont="1" applyFill="1"/>
    <xf numFmtId="0" fontId="4" fillId="5" borderId="0" xfId="0" applyFont="1" applyFill="1"/>
    <xf numFmtId="0" fontId="4" fillId="4" borderId="0" xfId="0" applyFont="1" applyFill="1"/>
    <xf numFmtId="0" fontId="2" fillId="0" borderId="1" xfId="0" applyFont="1" applyBorder="1" applyAlignment="1">
      <alignment vertical="top" wrapText="1"/>
    </xf>
    <xf numFmtId="0" fontId="5" fillId="3" borderId="0" xfId="0" applyFont="1" applyFill="1"/>
    <xf numFmtId="0" fontId="4" fillId="2" borderId="0" xfId="0" applyFont="1" applyFill="1"/>
    <xf numFmtId="0" fontId="3" fillId="0" borderId="0" xfId="0" applyFont="1"/>
    <xf numFmtId="0" fontId="1" fillId="2" borderId="1" xfId="0" applyFont="1" applyFill="1" applyBorder="1" applyAlignment="1">
      <alignment vertical="center" wrapText="1"/>
    </xf>
    <xf numFmtId="0" fontId="2" fillId="3" borderId="1" xfId="0" applyFont="1" applyFill="1" applyBorder="1" applyAlignment="1">
      <alignment vertical="top" wrapText="1"/>
    </xf>
    <xf numFmtId="164" fontId="2" fillId="3" borderId="1" xfId="0" applyNumberFormat="1" applyFont="1" applyFill="1" applyBorder="1" applyAlignment="1">
      <alignment vertical="top"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5" fillId="3" borderId="0" xfId="0" applyFont="1" applyFill="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2" fillId="0" borderId="0" xfId="0" applyFont="1"/>
    <xf numFmtId="0" fontId="5" fillId="0" borderId="0" xfId="0" applyFont="1"/>
    <xf numFmtId="165" fontId="0" fillId="0" borderId="0" xfId="0" applyNumberFormat="1"/>
    <xf numFmtId="2" fontId="8" fillId="0" borderId="0" xfId="0" applyNumberFormat="1" applyFont="1"/>
    <xf numFmtId="165" fontId="8"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D1F"/>
      <rgbColor rgb="FF800080"/>
      <rgbColor rgb="FF008080"/>
      <rgbColor rgb="FFCCCCCC"/>
      <rgbColor rgb="FF808080"/>
      <rgbColor rgb="FF9999FF"/>
      <rgbColor rgb="FFC0392B"/>
      <rgbColor rgb="FFF7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F3460"/>
      <rgbColor rgb="FF339966"/>
      <rgbColor rgb="FF003300"/>
      <rgbColor rgb="FF333300"/>
      <rgbColor rgb="FF993C1D"/>
      <rgbColor rgb="FF993366"/>
      <rgbColor rgb="FF533489"/>
      <rgbColor rgb="FF1621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1" width="22" customWidth="1"/>
    <col min="2" max="2" width="38" customWidth="1"/>
    <col min="3" max="4" width="22" customWidth="1"/>
  </cols>
  <sheetData>
    <row r="1" spans="1:4" x14ac:dyDescent="0.55000000000000004">
      <c r="A1" s="15" t="s">
        <v>0</v>
      </c>
      <c r="B1" s="15" t="s">
        <v>1</v>
      </c>
      <c r="C1" s="15" t="s">
        <v>2</v>
      </c>
      <c r="D1" s="15" t="s">
        <v>3</v>
      </c>
    </row>
    <row r="2" spans="1:4" x14ac:dyDescent="0.55000000000000004">
      <c r="A2" s="16" t="s">
        <v>4</v>
      </c>
      <c r="B2" s="16" t="s">
        <v>5</v>
      </c>
      <c r="C2" s="17">
        <v>650000</v>
      </c>
      <c r="D2" s="16" t="s">
        <v>6</v>
      </c>
    </row>
    <row r="3" spans="1:4" x14ac:dyDescent="0.55000000000000004">
      <c r="A3" s="18" t="s">
        <v>7</v>
      </c>
      <c r="B3" s="18" t="s">
        <v>8</v>
      </c>
      <c r="C3" s="19">
        <v>980000</v>
      </c>
      <c r="D3" s="18" t="s">
        <v>6</v>
      </c>
    </row>
    <row r="4" spans="1:4" x14ac:dyDescent="0.55000000000000004">
      <c r="A4" s="16" t="s">
        <v>9</v>
      </c>
      <c r="B4" s="16" t="s">
        <v>10</v>
      </c>
      <c r="C4" s="17">
        <v>520000</v>
      </c>
      <c r="D4" s="16" t="s">
        <v>11</v>
      </c>
    </row>
    <row r="5" spans="1:4" x14ac:dyDescent="0.55000000000000004">
      <c r="A5" s="18" t="s">
        <v>12</v>
      </c>
      <c r="B5" s="18" t="s">
        <v>13</v>
      </c>
      <c r="C5" s="19">
        <v>310000</v>
      </c>
      <c r="D5" s="18" t="s">
        <v>6</v>
      </c>
    </row>
    <row r="6" spans="1:4" x14ac:dyDescent="0.55000000000000004">
      <c r="A6" s="16" t="s">
        <v>14</v>
      </c>
      <c r="B6" s="16" t="s">
        <v>15</v>
      </c>
      <c r="C6" s="17">
        <v>1350000</v>
      </c>
      <c r="D6" s="16" t="s">
        <v>11</v>
      </c>
    </row>
    <row r="7" spans="1:4" x14ac:dyDescent="0.55000000000000004">
      <c r="A7" s="18" t="s">
        <v>16</v>
      </c>
      <c r="B7" s="18" t="s">
        <v>17</v>
      </c>
      <c r="C7" s="19">
        <v>580000</v>
      </c>
      <c r="D7" s="18" t="s">
        <v>6</v>
      </c>
    </row>
    <row r="8" spans="1:4" x14ac:dyDescent="0.55000000000000004">
      <c r="A8" s="16" t="s">
        <v>18</v>
      </c>
      <c r="B8" s="16" t="s">
        <v>19</v>
      </c>
      <c r="C8" s="17">
        <v>185000</v>
      </c>
      <c r="D8" s="16" t="s">
        <v>6</v>
      </c>
    </row>
    <row r="9" spans="1:4" x14ac:dyDescent="0.55000000000000004">
      <c r="A9" s="18" t="s">
        <v>20</v>
      </c>
      <c r="B9" s="18" t="s">
        <v>21</v>
      </c>
      <c r="C9" s="19">
        <v>720000</v>
      </c>
      <c r="D9" s="18" t="s">
        <v>6</v>
      </c>
    </row>
    <row r="10" spans="1:4" x14ac:dyDescent="0.55000000000000004">
      <c r="A10" s="16" t="s">
        <v>22</v>
      </c>
      <c r="B10" s="16" t="s">
        <v>23</v>
      </c>
      <c r="C10" s="17">
        <v>410000</v>
      </c>
      <c r="D10" s="16" t="s">
        <v>6</v>
      </c>
    </row>
    <row r="11" spans="1:4" x14ac:dyDescent="0.55000000000000004">
      <c r="A11" s="18" t="s">
        <v>24</v>
      </c>
      <c r="B11" s="18" t="s">
        <v>25</v>
      </c>
      <c r="C11" s="19">
        <v>95000</v>
      </c>
      <c r="D11" s="18" t="s">
        <v>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3" width="22" customWidth="1"/>
    <col min="4" max="4" width="60" customWidth="1"/>
    <col min="5" max="5" width="22" customWidth="1"/>
    <col min="6" max="6" width="50" customWidth="1"/>
    <col min="7" max="7" width="22" customWidth="1"/>
  </cols>
  <sheetData>
    <row r="1" spans="1:7" x14ac:dyDescent="0.55000000000000004">
      <c r="A1" s="20" t="s">
        <v>26</v>
      </c>
      <c r="B1" s="20" t="s">
        <v>27</v>
      </c>
      <c r="C1" s="20" t="s">
        <v>28</v>
      </c>
      <c r="D1" s="20" t="s">
        <v>29</v>
      </c>
      <c r="E1" s="20" t="s">
        <v>30</v>
      </c>
      <c r="F1" s="20" t="s">
        <v>31</v>
      </c>
      <c r="G1" s="20" t="s">
        <v>32</v>
      </c>
    </row>
    <row r="2" spans="1:7" ht="135.30000000000001" x14ac:dyDescent="0.55000000000000004">
      <c r="A2" s="16">
        <v>7155230411</v>
      </c>
      <c r="B2" s="16" t="s">
        <v>33</v>
      </c>
      <c r="C2" s="16" t="s">
        <v>34</v>
      </c>
      <c r="D2" s="16" t="s">
        <v>35</v>
      </c>
      <c r="E2" s="16"/>
      <c r="F2" s="16" t="s">
        <v>36</v>
      </c>
      <c r="G2" s="16">
        <v>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4" width="22" customWidth="1"/>
    <col min="5" max="5" width="40" customWidth="1"/>
    <col min="6" max="6" width="55" customWidth="1"/>
    <col min="7" max="9" width="22" customWidth="1"/>
  </cols>
  <sheetData>
    <row r="1" spans="1:9" x14ac:dyDescent="0.55000000000000004">
      <c r="A1" s="15" t="s">
        <v>37</v>
      </c>
      <c r="B1" s="15" t="s">
        <v>0</v>
      </c>
      <c r="C1" s="15" t="s">
        <v>38</v>
      </c>
      <c r="D1" s="15" t="s">
        <v>26</v>
      </c>
      <c r="E1" s="15" t="s">
        <v>39</v>
      </c>
      <c r="F1" s="15" t="s">
        <v>40</v>
      </c>
      <c r="G1" s="15" t="s">
        <v>41</v>
      </c>
      <c r="H1" s="15" t="s">
        <v>42</v>
      </c>
      <c r="I1" s="15" t="s">
        <v>43</v>
      </c>
    </row>
    <row r="2" spans="1:9" ht="61.5" x14ac:dyDescent="0.55000000000000004">
      <c r="A2" s="16">
        <v>1787145905881</v>
      </c>
      <c r="B2" s="16" t="s">
        <v>24</v>
      </c>
      <c r="C2" s="16" t="b">
        <f>FALSE()</f>
        <v>0</v>
      </c>
      <c r="D2" s="16">
        <v>7155230417</v>
      </c>
      <c r="E2" s="16" t="s">
        <v>44</v>
      </c>
      <c r="F2" s="16" t="s">
        <v>45</v>
      </c>
      <c r="G2" s="16" t="s">
        <v>46</v>
      </c>
      <c r="H2" s="16" t="s">
        <v>47</v>
      </c>
      <c r="I2" s="16"/>
    </row>
    <row r="3" spans="1:9" ht="49.2" x14ac:dyDescent="0.55000000000000004">
      <c r="A3" s="18">
        <v>1787152417600</v>
      </c>
      <c r="B3" s="18" t="s">
        <v>20</v>
      </c>
      <c r="C3" s="18" t="b">
        <f>FALSE()</f>
        <v>0</v>
      </c>
      <c r="D3" s="18">
        <v>7155230417</v>
      </c>
      <c r="E3" s="18" t="s">
        <v>48</v>
      </c>
      <c r="F3" s="18" t="s">
        <v>49</v>
      </c>
      <c r="G3" s="18" t="s">
        <v>46</v>
      </c>
      <c r="H3" s="18" t="s">
        <v>47</v>
      </c>
      <c r="I3" s="18"/>
    </row>
    <row r="4" spans="1:9" ht="49.2" x14ac:dyDescent="0.55000000000000004">
      <c r="A4" s="16">
        <v>1787152640672</v>
      </c>
      <c r="B4" s="16" t="s">
        <v>24</v>
      </c>
      <c r="C4" s="16" t="b">
        <f>FALSE()</f>
        <v>0</v>
      </c>
      <c r="D4" s="16">
        <v>7155230417</v>
      </c>
      <c r="E4" s="16" t="s">
        <v>50</v>
      </c>
      <c r="F4" s="16" t="s">
        <v>51</v>
      </c>
      <c r="G4" s="16" t="s">
        <v>46</v>
      </c>
      <c r="H4" s="16" t="s">
        <v>47</v>
      </c>
      <c r="I4" s="16"/>
    </row>
    <row r="5" spans="1:9" ht="49.2" x14ac:dyDescent="0.55000000000000004">
      <c r="A5" s="18">
        <v>1787153341203</v>
      </c>
      <c r="B5" s="18" t="s">
        <v>16</v>
      </c>
      <c r="C5" s="18" t="b">
        <f>FALSE()</f>
        <v>0</v>
      </c>
      <c r="D5" s="18">
        <v>7155230417</v>
      </c>
      <c r="E5" s="18" t="s">
        <v>52</v>
      </c>
      <c r="F5" s="18" t="s">
        <v>53</v>
      </c>
      <c r="G5" s="18" t="s">
        <v>46</v>
      </c>
      <c r="H5" s="18" t="s">
        <v>47</v>
      </c>
      <c r="I5" s="18"/>
    </row>
    <row r="6" spans="1:9" ht="49.2" x14ac:dyDescent="0.55000000000000004">
      <c r="A6" s="16">
        <v>1787153379077</v>
      </c>
      <c r="B6" s="16" t="s">
        <v>7</v>
      </c>
      <c r="C6" s="16" t="b">
        <f>FALSE()</f>
        <v>0</v>
      </c>
      <c r="D6" s="16">
        <v>7155230417</v>
      </c>
      <c r="E6" s="16" t="s">
        <v>54</v>
      </c>
      <c r="F6" s="16" t="s">
        <v>55</v>
      </c>
      <c r="G6" s="16" t="s">
        <v>56</v>
      </c>
      <c r="H6" s="16" t="s">
        <v>57</v>
      </c>
      <c r="I6" s="16"/>
    </row>
    <row r="7" spans="1:9" ht="159.9" x14ac:dyDescent="0.55000000000000004">
      <c r="A7" s="18">
        <v>1787153430478</v>
      </c>
      <c r="B7" s="18" t="s">
        <v>58</v>
      </c>
      <c r="C7" s="18" t="b">
        <f>TRUE()</f>
        <v>1</v>
      </c>
      <c r="D7" s="18">
        <v>7155230417</v>
      </c>
      <c r="E7" s="18" t="s">
        <v>59</v>
      </c>
      <c r="F7" s="18" t="s">
        <v>60</v>
      </c>
      <c r="G7" s="18" t="s">
        <v>46</v>
      </c>
      <c r="H7" s="18" t="s">
        <v>47</v>
      </c>
      <c r="I7" s="18"/>
    </row>
    <row r="8" spans="1:9" ht="49.2" x14ac:dyDescent="0.55000000000000004">
      <c r="A8" s="16">
        <v>1787153501197</v>
      </c>
      <c r="B8" s="16" t="s">
        <v>22</v>
      </c>
      <c r="C8" s="16" t="b">
        <f>FALSE()</f>
        <v>0</v>
      </c>
      <c r="D8" s="16">
        <v>7155230417</v>
      </c>
      <c r="E8" s="16" t="s">
        <v>61</v>
      </c>
      <c r="F8" s="16" t="s">
        <v>62</v>
      </c>
      <c r="G8" s="16" t="s">
        <v>46</v>
      </c>
      <c r="H8" s="16" t="s">
        <v>47</v>
      </c>
      <c r="I8" s="16"/>
    </row>
    <row r="9" spans="1:9" ht="73.8" x14ac:dyDescent="0.55000000000000004">
      <c r="A9" s="18">
        <v>1787153566084</v>
      </c>
      <c r="B9" s="18"/>
      <c r="C9" s="18" t="b">
        <f>FALSE()</f>
        <v>0</v>
      </c>
      <c r="D9" s="18">
        <v>7155230417</v>
      </c>
      <c r="E9" s="18" t="s">
        <v>63</v>
      </c>
      <c r="F9" s="18" t="s">
        <v>64</v>
      </c>
      <c r="G9" s="18" t="s">
        <v>46</v>
      </c>
      <c r="H9" s="18" t="s">
        <v>47</v>
      </c>
      <c r="I9" s="18"/>
    </row>
    <row r="10" spans="1:9" ht="49.2" x14ac:dyDescent="0.55000000000000004">
      <c r="A10" s="16">
        <v>1787155040915</v>
      </c>
      <c r="B10" s="16"/>
      <c r="C10" s="16" t="b">
        <f>FALSE()</f>
        <v>0</v>
      </c>
      <c r="D10" s="16">
        <v>7155230417</v>
      </c>
      <c r="E10" s="16" t="s">
        <v>65</v>
      </c>
      <c r="F10" s="16" t="s">
        <v>66</v>
      </c>
      <c r="G10" s="16" t="s">
        <v>46</v>
      </c>
      <c r="H10" s="16" t="s">
        <v>47</v>
      </c>
      <c r="I10" s="16"/>
    </row>
    <row r="11" spans="1:9" ht="49.2" x14ac:dyDescent="0.55000000000000004">
      <c r="A11" s="18">
        <v>1787575086353</v>
      </c>
      <c r="B11" s="18"/>
      <c r="C11" s="18" t="b">
        <f>FALSE()</f>
        <v>0</v>
      </c>
      <c r="D11" s="18">
        <v>7155230417</v>
      </c>
      <c r="E11" s="18" t="s">
        <v>67</v>
      </c>
      <c r="F11" s="18" t="s">
        <v>68</v>
      </c>
      <c r="G11" s="18" t="s">
        <v>56</v>
      </c>
      <c r="H11" s="18" t="s">
        <v>57</v>
      </c>
      <c r="I11" s="18"/>
    </row>
    <row r="12" spans="1:9" ht="49.2" x14ac:dyDescent="0.55000000000000004">
      <c r="A12" s="16">
        <v>1787575810253</v>
      </c>
      <c r="B12" s="16" t="s">
        <v>24</v>
      </c>
      <c r="C12" s="16" t="b">
        <f>FALSE()</f>
        <v>0</v>
      </c>
      <c r="D12" s="16">
        <v>7155230417</v>
      </c>
      <c r="E12" s="16" t="s">
        <v>69</v>
      </c>
      <c r="F12" s="16" t="s">
        <v>70</v>
      </c>
      <c r="G12" s="16" t="s">
        <v>46</v>
      </c>
      <c r="H12" s="16" t="s">
        <v>47</v>
      </c>
      <c r="I12" s="16"/>
    </row>
    <row r="13" spans="1:9" ht="49.2" x14ac:dyDescent="0.55000000000000004">
      <c r="A13" s="18">
        <v>1787576938484</v>
      </c>
      <c r="B13" s="18" t="s">
        <v>24</v>
      </c>
      <c r="C13" s="18" t="b">
        <f>FALSE()</f>
        <v>0</v>
      </c>
      <c r="D13" s="18">
        <v>7155230417</v>
      </c>
      <c r="E13" s="18" t="s">
        <v>71</v>
      </c>
      <c r="F13" s="18" t="s">
        <v>72</v>
      </c>
      <c r="G13" s="18" t="s">
        <v>56</v>
      </c>
      <c r="H13" s="18" t="s">
        <v>57</v>
      </c>
      <c r="I13" s="18"/>
    </row>
    <row r="14" spans="1:9" ht="61.5" x14ac:dyDescent="0.55000000000000004">
      <c r="A14" s="16">
        <v>1787577014582</v>
      </c>
      <c r="B14" s="16" t="s">
        <v>24</v>
      </c>
      <c r="C14" s="16" t="b">
        <f>FALSE()</f>
        <v>0</v>
      </c>
      <c r="D14" s="16">
        <v>7155230417</v>
      </c>
      <c r="E14" s="16" t="s">
        <v>71</v>
      </c>
      <c r="F14" s="16" t="s">
        <v>73</v>
      </c>
      <c r="G14" s="16" t="s">
        <v>74</v>
      </c>
      <c r="H14" s="16" t="s">
        <v>75</v>
      </c>
      <c r="I14" s="16"/>
    </row>
    <row r="15" spans="1:9" ht="73.8" x14ac:dyDescent="0.55000000000000004">
      <c r="A15" s="18">
        <v>1787577108365</v>
      </c>
      <c r="B15" s="18"/>
      <c r="C15" s="18" t="b">
        <f>FALSE()</f>
        <v>0</v>
      </c>
      <c r="D15" s="18">
        <v>7155230417</v>
      </c>
      <c r="E15" s="18" t="s">
        <v>76</v>
      </c>
      <c r="F15" s="18" t="s">
        <v>77</v>
      </c>
      <c r="G15" s="18" t="s">
        <v>78</v>
      </c>
      <c r="H15" s="18" t="s">
        <v>75</v>
      </c>
      <c r="I15" s="18"/>
    </row>
    <row r="16" spans="1:9" ht="49.2" x14ac:dyDescent="0.55000000000000004">
      <c r="A16" s="16">
        <v>1787577154752</v>
      </c>
      <c r="B16" s="16" t="s">
        <v>4</v>
      </c>
      <c r="C16" s="16" t="b">
        <f>FALSE()</f>
        <v>0</v>
      </c>
      <c r="D16" s="16">
        <v>7155230417</v>
      </c>
      <c r="E16" s="16" t="s">
        <v>79</v>
      </c>
      <c r="F16" s="16" t="s">
        <v>80</v>
      </c>
      <c r="G16" s="16" t="s">
        <v>46</v>
      </c>
      <c r="H16" s="16" t="s">
        <v>47</v>
      </c>
      <c r="I16" s="16"/>
    </row>
    <row r="17" spans="1:9" ht="147.6" x14ac:dyDescent="0.55000000000000004">
      <c r="A17" s="18">
        <v>1787578892366</v>
      </c>
      <c r="B17" s="18" t="s">
        <v>18</v>
      </c>
      <c r="C17" s="18" t="b">
        <f>FALSE()</f>
        <v>0</v>
      </c>
      <c r="D17" s="18">
        <v>7155230417</v>
      </c>
      <c r="E17" s="18" t="s">
        <v>81</v>
      </c>
      <c r="F17" s="18" t="s">
        <v>82</v>
      </c>
      <c r="G17" s="18" t="s">
        <v>46</v>
      </c>
      <c r="H17" s="18" t="s">
        <v>47</v>
      </c>
      <c r="I17" s="18"/>
    </row>
    <row r="18" spans="1:9" ht="147.6" x14ac:dyDescent="0.55000000000000004">
      <c r="A18" s="16">
        <v>1787699114763</v>
      </c>
      <c r="B18" s="16"/>
      <c r="C18" s="16" t="b">
        <f>FALSE()</f>
        <v>0</v>
      </c>
      <c r="D18" s="16">
        <v>7155230417</v>
      </c>
      <c r="E18" s="16" t="s">
        <v>83</v>
      </c>
      <c r="F18" s="16" t="s">
        <v>84</v>
      </c>
      <c r="G18" s="16" t="s">
        <v>78</v>
      </c>
      <c r="H18" s="16" t="s">
        <v>75</v>
      </c>
      <c r="I18" s="16"/>
    </row>
    <row r="19" spans="1:9" ht="184.5" x14ac:dyDescent="0.55000000000000004">
      <c r="A19" s="18">
        <v>1787699136603</v>
      </c>
      <c r="B19" s="18" t="s">
        <v>7</v>
      </c>
      <c r="C19" s="18" t="b">
        <f>FALSE()</f>
        <v>0</v>
      </c>
      <c r="D19" s="18">
        <v>7155230411</v>
      </c>
      <c r="E19" s="18" t="s">
        <v>85</v>
      </c>
      <c r="F19" s="18" t="s">
        <v>86</v>
      </c>
      <c r="G19" s="18" t="s">
        <v>46</v>
      </c>
      <c r="H19" s="18" t="s">
        <v>47</v>
      </c>
      <c r="I19" s="18"/>
    </row>
    <row r="20" spans="1:9" ht="147.6" x14ac:dyDescent="0.55000000000000004">
      <c r="A20" s="16">
        <v>1787746190670</v>
      </c>
      <c r="B20" s="16"/>
      <c r="C20" s="16" t="b">
        <f>FALSE()</f>
        <v>0</v>
      </c>
      <c r="D20" s="16">
        <v>7155230411</v>
      </c>
      <c r="E20" s="16" t="s">
        <v>87</v>
      </c>
      <c r="F20" s="16" t="s">
        <v>88</v>
      </c>
      <c r="G20" s="16" t="s">
        <v>78</v>
      </c>
      <c r="H20" s="16" t="s">
        <v>75</v>
      </c>
      <c r="I20" s="16"/>
    </row>
    <row r="21" spans="1:9" ht="209.1" x14ac:dyDescent="0.55000000000000004">
      <c r="A21" s="18">
        <v>1787747414597</v>
      </c>
      <c r="B21" s="18" t="s">
        <v>18</v>
      </c>
      <c r="C21" s="18" t="b">
        <f>FALSE()</f>
        <v>0</v>
      </c>
      <c r="D21" s="18">
        <v>7155230411</v>
      </c>
      <c r="E21" s="18" t="s">
        <v>89</v>
      </c>
      <c r="F21" s="18" t="s">
        <v>90</v>
      </c>
      <c r="G21" s="18" t="s">
        <v>46</v>
      </c>
      <c r="H21" s="18" t="s">
        <v>47</v>
      </c>
      <c r="I21" s="18"/>
    </row>
    <row r="22" spans="1:9" ht="258.3" x14ac:dyDescent="0.55000000000000004">
      <c r="A22" s="16" t="s">
        <v>91</v>
      </c>
      <c r="B22" s="16"/>
      <c r="C22" s="16" t="b">
        <f>FALSE()</f>
        <v>0</v>
      </c>
      <c r="D22" s="16">
        <v>7155230411</v>
      </c>
      <c r="E22" s="16" t="s">
        <v>92</v>
      </c>
      <c r="F22" s="16" t="s">
        <v>93</v>
      </c>
      <c r="G22" s="16" t="s">
        <v>94</v>
      </c>
      <c r="H22" s="16" t="s">
        <v>75</v>
      </c>
      <c r="I22" s="16"/>
    </row>
    <row r="23" spans="1:9" ht="221.4" x14ac:dyDescent="0.55000000000000004">
      <c r="A23" s="18" t="s">
        <v>95</v>
      </c>
      <c r="B23" s="18" t="s">
        <v>7</v>
      </c>
      <c r="C23" s="18" t="b">
        <f>FALSE()</f>
        <v>0</v>
      </c>
      <c r="D23" s="18">
        <v>7155230411</v>
      </c>
      <c r="E23" s="18" t="s">
        <v>92</v>
      </c>
      <c r="F23" s="18" t="s">
        <v>96</v>
      </c>
      <c r="G23" s="18" t="s">
        <v>97</v>
      </c>
      <c r="H23" s="18" t="s">
        <v>75</v>
      </c>
      <c r="I23" s="18"/>
    </row>
    <row r="24" spans="1:9" ht="233.7" x14ac:dyDescent="0.55000000000000004">
      <c r="A24" s="16" t="s">
        <v>98</v>
      </c>
      <c r="B24" s="16" t="s">
        <v>7</v>
      </c>
      <c r="C24" s="16" t="b">
        <f>FALSE()</f>
        <v>0</v>
      </c>
      <c r="D24" s="16">
        <v>7155230411</v>
      </c>
      <c r="E24" s="16" t="s">
        <v>99</v>
      </c>
      <c r="F24" s="16" t="s">
        <v>100</v>
      </c>
      <c r="G24" s="16" t="s">
        <v>47</v>
      </c>
      <c r="H24" s="16" t="s">
        <v>47</v>
      </c>
      <c r="I24" s="16"/>
    </row>
    <row r="25" spans="1:9" ht="233.7" x14ac:dyDescent="0.55000000000000004">
      <c r="A25" s="18" t="s">
        <v>101</v>
      </c>
      <c r="B25" s="18" t="s">
        <v>7</v>
      </c>
      <c r="C25" s="18" t="b">
        <f>FALSE()</f>
        <v>0</v>
      </c>
      <c r="D25" s="18">
        <v>7155230411</v>
      </c>
      <c r="E25" s="18" t="s">
        <v>99</v>
      </c>
      <c r="F25" s="18" t="s">
        <v>102</v>
      </c>
      <c r="G25" s="18" t="s">
        <v>97</v>
      </c>
      <c r="H25" s="18" t="s">
        <v>75</v>
      </c>
      <c r="I25" s="18"/>
    </row>
    <row r="26" spans="1:9" ht="319.8" x14ac:dyDescent="0.55000000000000004">
      <c r="A26" s="16" t="s">
        <v>103</v>
      </c>
      <c r="B26" s="16" t="s">
        <v>18</v>
      </c>
      <c r="C26" s="16" t="b">
        <f>FALSE()</f>
        <v>0</v>
      </c>
      <c r="D26" s="16">
        <v>7155230411</v>
      </c>
      <c r="E26" s="16" t="s">
        <v>104</v>
      </c>
      <c r="F26" s="16" t="s">
        <v>105</v>
      </c>
      <c r="G26" s="16" t="s">
        <v>97</v>
      </c>
      <c r="H26" s="16" t="s">
        <v>75</v>
      </c>
      <c r="I26" s="16" t="s">
        <v>106</v>
      </c>
    </row>
    <row r="27" spans="1:9" ht="270.60000000000002" x14ac:dyDescent="0.55000000000000004">
      <c r="A27" s="18" t="s">
        <v>107</v>
      </c>
      <c r="B27" s="18" t="s">
        <v>18</v>
      </c>
      <c r="C27" s="18" t="b">
        <f>FALSE()</f>
        <v>0</v>
      </c>
      <c r="D27" s="18">
        <v>7155230411</v>
      </c>
      <c r="E27" s="18" t="s">
        <v>104</v>
      </c>
      <c r="F27" s="18" t="s">
        <v>108</v>
      </c>
      <c r="G27" s="18" t="s">
        <v>97</v>
      </c>
      <c r="H27" s="18" t="s">
        <v>75</v>
      </c>
      <c r="I27" s="18" t="s">
        <v>106</v>
      </c>
    </row>
    <row r="28" spans="1:9" ht="36.9" x14ac:dyDescent="0.55000000000000004">
      <c r="A28" s="16"/>
      <c r="B28" s="16"/>
      <c r="C28" s="16" t="b">
        <f>FALSE()</f>
        <v>0</v>
      </c>
      <c r="D28" s="16"/>
      <c r="E28" s="16"/>
      <c r="F28" s="16" t="s">
        <v>109</v>
      </c>
      <c r="G28" s="16" t="s">
        <v>94</v>
      </c>
      <c r="H28" s="16" t="s">
        <v>75</v>
      </c>
      <c r="I28" s="16"/>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1" width="22" customWidth="1"/>
    <col min="2" max="2" width="30" customWidth="1"/>
    <col min="3" max="4" width="45" customWidth="1"/>
    <col min="5" max="7" width="22" customWidth="1"/>
    <col min="8" max="8" width="45" customWidth="1"/>
    <col min="9" max="15" width="22" customWidth="1"/>
  </cols>
  <sheetData>
    <row r="1" spans="1:15" ht="24.6" x14ac:dyDescent="0.55000000000000004">
      <c r="A1" s="21" t="s">
        <v>37</v>
      </c>
      <c r="B1" s="21" t="s">
        <v>39</v>
      </c>
      <c r="C1" s="21" t="s">
        <v>40</v>
      </c>
      <c r="D1" s="21" t="s">
        <v>110</v>
      </c>
      <c r="E1" s="21" t="s">
        <v>111</v>
      </c>
      <c r="F1" s="21" t="s">
        <v>112</v>
      </c>
      <c r="G1" s="21" t="s">
        <v>113</v>
      </c>
      <c r="H1" s="21" t="s">
        <v>114</v>
      </c>
      <c r="I1" s="21" t="s">
        <v>115</v>
      </c>
      <c r="J1" s="21" t="s">
        <v>116</v>
      </c>
      <c r="K1" s="21" t="s">
        <v>43</v>
      </c>
      <c r="L1" s="21" t="s">
        <v>117</v>
      </c>
      <c r="M1" s="21" t="s">
        <v>118</v>
      </c>
      <c r="N1" s="21" t="s">
        <v>119</v>
      </c>
      <c r="O1" s="21" t="s">
        <v>120</v>
      </c>
    </row>
    <row r="2" spans="1:15" ht="36.9" x14ac:dyDescent="0.55000000000000004">
      <c r="A2" s="16"/>
      <c r="B2" s="16"/>
      <c r="C2" s="16"/>
      <c r="D2" s="16"/>
      <c r="E2" s="16"/>
      <c r="F2" s="16" t="s">
        <v>121</v>
      </c>
      <c r="G2" s="16" t="s">
        <v>121</v>
      </c>
      <c r="H2" s="16" t="s">
        <v>122</v>
      </c>
      <c r="I2" s="16" t="s">
        <v>123</v>
      </c>
      <c r="J2" s="16">
        <v>1</v>
      </c>
      <c r="K2" s="16" t="s">
        <v>124</v>
      </c>
      <c r="L2" s="16"/>
      <c r="M2" s="16" t="b">
        <f>FALSE()</f>
        <v>0</v>
      </c>
      <c r="N2" s="16">
        <v>1</v>
      </c>
      <c r="O2" s="16" t="s">
        <v>125</v>
      </c>
    </row>
    <row r="3" spans="1:15" ht="319.8" x14ac:dyDescent="0.55000000000000004">
      <c r="A3" s="18" t="s">
        <v>103</v>
      </c>
      <c r="B3" s="18" t="s">
        <v>104</v>
      </c>
      <c r="C3" s="18" t="s">
        <v>105</v>
      </c>
      <c r="D3" s="18" t="s">
        <v>35</v>
      </c>
      <c r="E3" s="18">
        <v>5</v>
      </c>
      <c r="F3" s="18" t="s">
        <v>126</v>
      </c>
      <c r="G3" s="18" t="s">
        <v>127</v>
      </c>
      <c r="H3" s="18" t="s">
        <v>128</v>
      </c>
      <c r="I3" s="18" t="s">
        <v>123</v>
      </c>
      <c r="J3" s="18">
        <v>3</v>
      </c>
      <c r="K3" s="18" t="s">
        <v>129</v>
      </c>
      <c r="L3" s="18" t="s">
        <v>130</v>
      </c>
      <c r="M3" s="18" t="b">
        <f>FALSE()</f>
        <v>0</v>
      </c>
      <c r="N3" s="18">
        <v>1</v>
      </c>
      <c r="O3" s="18" t="s">
        <v>131</v>
      </c>
    </row>
    <row r="4" spans="1:15" ht="344.4" x14ac:dyDescent="0.55000000000000004">
      <c r="A4" s="16" t="s">
        <v>107</v>
      </c>
      <c r="B4" s="16" t="s">
        <v>104</v>
      </c>
      <c r="C4" s="16" t="s">
        <v>132</v>
      </c>
      <c r="D4" s="16" t="s">
        <v>35</v>
      </c>
      <c r="E4" s="16">
        <v>5</v>
      </c>
      <c r="F4" s="16" t="s">
        <v>121</v>
      </c>
      <c r="G4" s="16" t="s">
        <v>133</v>
      </c>
      <c r="H4" s="16" t="s">
        <v>134</v>
      </c>
      <c r="I4" s="16" t="s">
        <v>123</v>
      </c>
      <c r="J4" s="16">
        <v>3</v>
      </c>
      <c r="K4" s="16" t="s">
        <v>129</v>
      </c>
      <c r="L4" s="16" t="s">
        <v>135</v>
      </c>
      <c r="M4" s="16" t="b">
        <f>FALSE()</f>
        <v>0</v>
      </c>
      <c r="N4" s="16">
        <v>1</v>
      </c>
      <c r="O4" s="16" t="s">
        <v>136</v>
      </c>
    </row>
    <row r="5" spans="1:15" ht="221.4" x14ac:dyDescent="0.55000000000000004">
      <c r="A5" s="18" t="s">
        <v>107</v>
      </c>
      <c r="B5" s="18" t="s">
        <v>104</v>
      </c>
      <c r="C5" s="18" t="s">
        <v>137</v>
      </c>
      <c r="D5" s="18" t="s">
        <v>35</v>
      </c>
      <c r="E5" s="18">
        <v>5</v>
      </c>
      <c r="F5" s="18" t="s">
        <v>121</v>
      </c>
      <c r="G5" s="18" t="s">
        <v>121</v>
      </c>
      <c r="H5" s="18" t="s">
        <v>138</v>
      </c>
      <c r="I5" s="18" t="s">
        <v>139</v>
      </c>
      <c r="J5" s="18">
        <v>5</v>
      </c>
      <c r="K5" s="18" t="s">
        <v>106</v>
      </c>
      <c r="L5" s="18"/>
      <c r="M5" s="18" t="b">
        <f>FALSE()</f>
        <v>0</v>
      </c>
      <c r="N5" s="18">
        <v>1</v>
      </c>
      <c r="O5" s="18" t="s">
        <v>140</v>
      </c>
    </row>
    <row r="6" spans="1:15" ht="295.2" x14ac:dyDescent="0.55000000000000004">
      <c r="A6" s="16" t="s">
        <v>107</v>
      </c>
      <c r="B6" s="16" t="s">
        <v>104</v>
      </c>
      <c r="C6" s="16" t="s">
        <v>108</v>
      </c>
      <c r="D6" s="16" t="s">
        <v>35</v>
      </c>
      <c r="E6" s="16">
        <v>5</v>
      </c>
      <c r="F6" s="16" t="s">
        <v>121</v>
      </c>
      <c r="G6" s="16" t="s">
        <v>121</v>
      </c>
      <c r="H6" s="16" t="s">
        <v>141</v>
      </c>
      <c r="I6" s="16" t="s">
        <v>139</v>
      </c>
      <c r="J6" s="16">
        <v>5</v>
      </c>
      <c r="K6" s="16" t="s">
        <v>106</v>
      </c>
      <c r="L6" s="16"/>
      <c r="M6" s="16" t="b">
        <f>FALSE()</f>
        <v>0</v>
      </c>
      <c r="N6" s="16">
        <v>1</v>
      </c>
      <c r="O6" s="16" t="s">
        <v>142</v>
      </c>
    </row>
    <row r="7" spans="1:15" ht="295.2" x14ac:dyDescent="0.55000000000000004">
      <c r="A7" s="18" t="s">
        <v>107</v>
      </c>
      <c r="B7" s="18" t="s">
        <v>104</v>
      </c>
      <c r="C7" s="18" t="s">
        <v>108</v>
      </c>
      <c r="D7" s="18" t="s">
        <v>35</v>
      </c>
      <c r="E7" s="18">
        <v>5</v>
      </c>
      <c r="F7" s="18" t="s">
        <v>121</v>
      </c>
      <c r="G7" s="18" t="s">
        <v>121</v>
      </c>
      <c r="H7" s="18" t="s">
        <v>143</v>
      </c>
      <c r="I7" s="18" t="s">
        <v>139</v>
      </c>
      <c r="J7" s="18">
        <v>5</v>
      </c>
      <c r="K7" s="18" t="s">
        <v>106</v>
      </c>
      <c r="L7" s="18"/>
      <c r="M7" s="18" t="b">
        <f>FALSE()</f>
        <v>0</v>
      </c>
      <c r="N7" s="18">
        <v>1</v>
      </c>
      <c r="O7" s="18" t="s">
        <v>144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3"/>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4" width="22" customWidth="1"/>
  </cols>
  <sheetData>
    <row r="1" spans="1:4" x14ac:dyDescent="0.55000000000000004">
      <c r="A1" s="20" t="s">
        <v>37</v>
      </c>
      <c r="B1" s="20" t="s">
        <v>145</v>
      </c>
      <c r="C1" s="20" t="s">
        <v>146</v>
      </c>
      <c r="D1" s="20" t="s">
        <v>147</v>
      </c>
    </row>
    <row r="2" spans="1:4" ht="24.6" x14ac:dyDescent="0.55000000000000004">
      <c r="A2" s="16"/>
      <c r="B2" s="16" t="s">
        <v>148</v>
      </c>
      <c r="C2" s="16" t="s">
        <v>149</v>
      </c>
      <c r="D2" s="16">
        <v>200</v>
      </c>
    </row>
    <row r="3" spans="1:4" ht="24.6" x14ac:dyDescent="0.55000000000000004">
      <c r="A3" s="18"/>
      <c r="B3" s="18" t="s">
        <v>150</v>
      </c>
      <c r="C3" s="18" t="s">
        <v>149</v>
      </c>
      <c r="D3" s="18">
        <v>200</v>
      </c>
    </row>
    <row r="4" spans="1:4" ht="24.6" x14ac:dyDescent="0.55000000000000004">
      <c r="A4" s="16" t="s">
        <v>151</v>
      </c>
      <c r="B4" s="16" t="s">
        <v>152</v>
      </c>
      <c r="C4" s="16" t="s">
        <v>149</v>
      </c>
      <c r="D4" s="16">
        <v>200</v>
      </c>
    </row>
    <row r="5" spans="1:4" ht="24.6" x14ac:dyDescent="0.55000000000000004">
      <c r="A5" s="18"/>
      <c r="B5" s="18" t="s">
        <v>153</v>
      </c>
      <c r="C5" s="18" t="s">
        <v>29</v>
      </c>
      <c r="D5" s="18">
        <v>200</v>
      </c>
    </row>
    <row r="6" spans="1:4" ht="24.6" x14ac:dyDescent="0.55000000000000004">
      <c r="A6" s="16" t="s">
        <v>154</v>
      </c>
      <c r="B6" s="16" t="s">
        <v>155</v>
      </c>
      <c r="C6" s="16" t="s">
        <v>149</v>
      </c>
      <c r="D6" s="16">
        <v>200</v>
      </c>
    </row>
    <row r="7" spans="1:4" ht="24.6" x14ac:dyDescent="0.55000000000000004">
      <c r="A7" s="18" t="s">
        <v>154</v>
      </c>
      <c r="B7" s="18" t="s">
        <v>156</v>
      </c>
      <c r="C7" s="18" t="s">
        <v>29</v>
      </c>
      <c r="D7" s="18">
        <v>200</v>
      </c>
    </row>
    <row r="8" spans="1:4" ht="24.6" x14ac:dyDescent="0.55000000000000004">
      <c r="A8" s="16" t="s">
        <v>157</v>
      </c>
      <c r="B8" s="16" t="s">
        <v>158</v>
      </c>
      <c r="C8" s="16" t="s">
        <v>149</v>
      </c>
      <c r="D8" s="16">
        <v>200</v>
      </c>
    </row>
    <row r="9" spans="1:4" ht="24.6" x14ac:dyDescent="0.55000000000000004">
      <c r="A9" s="18" t="s">
        <v>157</v>
      </c>
      <c r="B9" s="18" t="s">
        <v>159</v>
      </c>
      <c r="C9" s="18" t="s">
        <v>29</v>
      </c>
      <c r="D9" s="18">
        <v>200</v>
      </c>
    </row>
    <row r="10" spans="1:4" ht="24.6" x14ac:dyDescent="0.55000000000000004">
      <c r="A10" s="16" t="s">
        <v>160</v>
      </c>
      <c r="B10" s="16" t="s">
        <v>161</v>
      </c>
      <c r="C10" s="16" t="s">
        <v>149</v>
      </c>
      <c r="D10" s="16">
        <v>200</v>
      </c>
    </row>
    <row r="11" spans="1:4" ht="24.6" x14ac:dyDescent="0.55000000000000004">
      <c r="A11" s="18" t="s">
        <v>160</v>
      </c>
      <c r="B11" s="18" t="s">
        <v>162</v>
      </c>
      <c r="C11" s="18" t="s">
        <v>29</v>
      </c>
      <c r="D11" s="18">
        <v>200</v>
      </c>
    </row>
    <row r="12" spans="1:4" ht="24.6" x14ac:dyDescent="0.55000000000000004">
      <c r="A12" s="16" t="s">
        <v>160</v>
      </c>
      <c r="B12" s="16" t="s">
        <v>163</v>
      </c>
      <c r="C12" s="16" t="s">
        <v>149</v>
      </c>
      <c r="D12" s="16">
        <v>200</v>
      </c>
    </row>
    <row r="13" spans="1:4" ht="24.6" x14ac:dyDescent="0.55000000000000004">
      <c r="A13" s="18" t="s">
        <v>164</v>
      </c>
      <c r="B13" s="18" t="s">
        <v>165</v>
      </c>
      <c r="C13" s="18" t="s">
        <v>149</v>
      </c>
      <c r="D13" s="18">
        <v>200</v>
      </c>
    </row>
    <row r="14" spans="1:4" ht="24.6" x14ac:dyDescent="0.55000000000000004">
      <c r="A14" s="16" t="s">
        <v>164</v>
      </c>
      <c r="B14" s="16" t="s">
        <v>166</v>
      </c>
      <c r="C14" s="16" t="s">
        <v>29</v>
      </c>
      <c r="D14" s="16">
        <v>200</v>
      </c>
    </row>
    <row r="15" spans="1:4" ht="24.6" x14ac:dyDescent="0.55000000000000004">
      <c r="A15" s="18" t="s">
        <v>164</v>
      </c>
      <c r="B15" s="18" t="s">
        <v>167</v>
      </c>
      <c r="C15" s="18" t="s">
        <v>149</v>
      </c>
      <c r="D15" s="18">
        <v>200</v>
      </c>
    </row>
    <row r="16" spans="1:4" ht="24.6" x14ac:dyDescent="0.55000000000000004">
      <c r="A16" s="16" t="s">
        <v>168</v>
      </c>
      <c r="B16" s="16" t="s">
        <v>169</v>
      </c>
      <c r="C16" s="16" t="s">
        <v>149</v>
      </c>
      <c r="D16" s="16">
        <v>200</v>
      </c>
    </row>
    <row r="17" spans="1:4" ht="24.6" x14ac:dyDescent="0.55000000000000004">
      <c r="A17" s="18" t="s">
        <v>168</v>
      </c>
      <c r="B17" s="18" t="s">
        <v>170</v>
      </c>
      <c r="C17" s="18" t="s">
        <v>29</v>
      </c>
      <c r="D17" s="18">
        <v>200</v>
      </c>
    </row>
    <row r="18" spans="1:4" ht="24.6" x14ac:dyDescent="0.55000000000000004">
      <c r="A18" s="16" t="s">
        <v>171</v>
      </c>
      <c r="B18" s="16" t="s">
        <v>172</v>
      </c>
      <c r="C18" s="16" t="s">
        <v>149</v>
      </c>
      <c r="D18" s="16">
        <v>200</v>
      </c>
    </row>
    <row r="19" spans="1:4" ht="24.6" x14ac:dyDescent="0.55000000000000004">
      <c r="A19" s="18" t="s">
        <v>171</v>
      </c>
      <c r="B19" s="18" t="s">
        <v>173</v>
      </c>
      <c r="C19" s="18" t="s">
        <v>29</v>
      </c>
      <c r="D19" s="18">
        <v>200</v>
      </c>
    </row>
    <row r="20" spans="1:4" ht="24.6" x14ac:dyDescent="0.55000000000000004">
      <c r="A20" s="16" t="s">
        <v>174</v>
      </c>
      <c r="B20" s="16" t="s">
        <v>175</v>
      </c>
      <c r="C20" s="16" t="s">
        <v>149</v>
      </c>
      <c r="D20" s="16">
        <v>200</v>
      </c>
    </row>
    <row r="21" spans="1:4" ht="24.6" x14ac:dyDescent="0.55000000000000004">
      <c r="A21" s="18" t="s">
        <v>174</v>
      </c>
      <c r="B21" s="18" t="s">
        <v>176</v>
      </c>
      <c r="C21" s="18" t="s">
        <v>29</v>
      </c>
      <c r="D21" s="18">
        <v>200</v>
      </c>
    </row>
    <row r="22" spans="1:4" ht="24.6" x14ac:dyDescent="0.55000000000000004">
      <c r="A22" s="16" t="s">
        <v>174</v>
      </c>
      <c r="B22" s="16" t="s">
        <v>177</v>
      </c>
      <c r="C22" s="16" t="s">
        <v>149</v>
      </c>
      <c r="D22" s="16">
        <v>200</v>
      </c>
    </row>
    <row r="23" spans="1:4" ht="24.6" x14ac:dyDescent="0.55000000000000004">
      <c r="A23" s="18" t="s">
        <v>178</v>
      </c>
      <c r="B23" s="18" t="s">
        <v>179</v>
      </c>
      <c r="C23" s="18" t="s">
        <v>149</v>
      </c>
      <c r="D23" s="18">
        <v>200</v>
      </c>
    </row>
    <row r="24" spans="1:4" ht="24.6" x14ac:dyDescent="0.55000000000000004">
      <c r="A24" s="16" t="s">
        <v>178</v>
      </c>
      <c r="B24" s="16" t="s">
        <v>180</v>
      </c>
      <c r="C24" s="16" t="s">
        <v>29</v>
      </c>
      <c r="D24" s="16">
        <v>200</v>
      </c>
    </row>
    <row r="25" spans="1:4" ht="24.6" x14ac:dyDescent="0.55000000000000004">
      <c r="A25" s="18" t="s">
        <v>178</v>
      </c>
      <c r="B25" s="18" t="s">
        <v>181</v>
      </c>
      <c r="C25" s="18" t="s">
        <v>149</v>
      </c>
      <c r="D25" s="18">
        <v>200</v>
      </c>
    </row>
    <row r="26" spans="1:4" ht="24.6" x14ac:dyDescent="0.55000000000000004">
      <c r="A26" s="16" t="s">
        <v>182</v>
      </c>
      <c r="B26" s="16" t="s">
        <v>183</v>
      </c>
      <c r="C26" s="16" t="s">
        <v>149</v>
      </c>
      <c r="D26" s="16">
        <v>200</v>
      </c>
    </row>
    <row r="27" spans="1:4" ht="24.6" x14ac:dyDescent="0.55000000000000004">
      <c r="A27" s="18" t="s">
        <v>182</v>
      </c>
      <c r="B27" s="18" t="s">
        <v>184</v>
      </c>
      <c r="C27" s="18" t="s">
        <v>29</v>
      </c>
      <c r="D27" s="18">
        <v>200</v>
      </c>
    </row>
    <row r="28" spans="1:4" ht="24.6" x14ac:dyDescent="0.55000000000000004">
      <c r="A28" s="16" t="s">
        <v>182</v>
      </c>
      <c r="B28" s="16" t="s">
        <v>185</v>
      </c>
      <c r="C28" s="16" t="s">
        <v>149</v>
      </c>
      <c r="D28" s="16">
        <v>200</v>
      </c>
    </row>
    <row r="29" spans="1:4" ht="24.6" x14ac:dyDescent="0.55000000000000004">
      <c r="A29" s="18" t="s">
        <v>186</v>
      </c>
      <c r="B29" s="18" t="s">
        <v>187</v>
      </c>
      <c r="C29" s="18" t="s">
        <v>149</v>
      </c>
      <c r="D29" s="18">
        <v>200</v>
      </c>
    </row>
    <row r="30" spans="1:4" ht="24.6" x14ac:dyDescent="0.55000000000000004">
      <c r="A30" s="16" t="s">
        <v>186</v>
      </c>
      <c r="B30" s="16" t="s">
        <v>188</v>
      </c>
      <c r="C30" s="16" t="s">
        <v>29</v>
      </c>
      <c r="D30" s="16">
        <v>200</v>
      </c>
    </row>
    <row r="31" spans="1:4" ht="24.6" x14ac:dyDescent="0.55000000000000004">
      <c r="A31" s="18" t="s">
        <v>186</v>
      </c>
      <c r="B31" s="18" t="s">
        <v>189</v>
      </c>
      <c r="C31" s="18" t="s">
        <v>149</v>
      </c>
      <c r="D31" s="18">
        <v>200</v>
      </c>
    </row>
    <row r="32" spans="1:4" ht="24.6" x14ac:dyDescent="0.55000000000000004">
      <c r="A32" s="16" t="s">
        <v>190</v>
      </c>
      <c r="B32" s="16" t="s">
        <v>191</v>
      </c>
      <c r="C32" s="16" t="s">
        <v>149</v>
      </c>
      <c r="D32" s="16">
        <v>200</v>
      </c>
    </row>
    <row r="33" spans="1:4" ht="24.6" x14ac:dyDescent="0.55000000000000004">
      <c r="A33" s="18" t="s">
        <v>190</v>
      </c>
      <c r="B33" s="18" t="s">
        <v>192</v>
      </c>
      <c r="C33" s="18" t="s">
        <v>29</v>
      </c>
      <c r="D33" s="18">
        <v>200</v>
      </c>
    </row>
    <row r="34" spans="1:4" ht="24.6" x14ac:dyDescent="0.55000000000000004">
      <c r="A34" s="16" t="s">
        <v>190</v>
      </c>
      <c r="B34" s="16" t="s">
        <v>193</v>
      </c>
      <c r="C34" s="16" t="s">
        <v>149</v>
      </c>
      <c r="D34" s="16">
        <v>200</v>
      </c>
    </row>
    <row r="35" spans="1:4" ht="24.6" x14ac:dyDescent="0.55000000000000004">
      <c r="A35" s="18" t="s">
        <v>98</v>
      </c>
      <c r="B35" s="18" t="s">
        <v>194</v>
      </c>
      <c r="C35" s="18" t="s">
        <v>149</v>
      </c>
      <c r="D35" s="18">
        <v>200</v>
      </c>
    </row>
    <row r="36" spans="1:4" ht="24.6" x14ac:dyDescent="0.55000000000000004">
      <c r="A36" s="16" t="s">
        <v>98</v>
      </c>
      <c r="B36" s="16" t="s">
        <v>195</v>
      </c>
      <c r="C36" s="16" t="s">
        <v>29</v>
      </c>
      <c r="D36" s="16">
        <v>200</v>
      </c>
    </row>
    <row r="37" spans="1:4" ht="24.6" x14ac:dyDescent="0.55000000000000004">
      <c r="A37" s="18" t="s">
        <v>98</v>
      </c>
      <c r="B37" s="18" t="s">
        <v>196</v>
      </c>
      <c r="C37" s="18" t="s">
        <v>149</v>
      </c>
      <c r="D37" s="18">
        <v>200</v>
      </c>
    </row>
    <row r="38" spans="1:4" ht="24.6" x14ac:dyDescent="0.55000000000000004">
      <c r="A38" s="16" t="s">
        <v>101</v>
      </c>
      <c r="B38" s="16" t="s">
        <v>197</v>
      </c>
      <c r="C38" s="16" t="s">
        <v>149</v>
      </c>
      <c r="D38" s="16">
        <v>200</v>
      </c>
    </row>
    <row r="39" spans="1:4" ht="24.6" x14ac:dyDescent="0.55000000000000004">
      <c r="A39" s="18" t="s">
        <v>101</v>
      </c>
      <c r="B39" s="18" t="s">
        <v>198</v>
      </c>
      <c r="C39" s="18" t="s">
        <v>29</v>
      </c>
      <c r="D39" s="18">
        <v>200</v>
      </c>
    </row>
    <row r="40" spans="1:4" ht="24.6" x14ac:dyDescent="0.55000000000000004">
      <c r="A40" s="16" t="s">
        <v>101</v>
      </c>
      <c r="B40" s="16" t="s">
        <v>199</v>
      </c>
      <c r="C40" s="16" t="s">
        <v>149</v>
      </c>
      <c r="D40" s="16">
        <v>200</v>
      </c>
    </row>
    <row r="41" spans="1:4" ht="24.6" x14ac:dyDescent="0.55000000000000004">
      <c r="A41" s="18"/>
      <c r="B41" s="18" t="s">
        <v>200</v>
      </c>
      <c r="C41" s="18" t="s">
        <v>201</v>
      </c>
      <c r="D41" s="18">
        <v>200</v>
      </c>
    </row>
    <row r="42" spans="1:4" ht="24.6" x14ac:dyDescent="0.55000000000000004">
      <c r="A42" s="16" t="s">
        <v>103</v>
      </c>
      <c r="B42" s="16" t="s">
        <v>202</v>
      </c>
      <c r="C42" s="16" t="s">
        <v>149</v>
      </c>
      <c r="D42" s="16">
        <v>200</v>
      </c>
    </row>
    <row r="43" spans="1:4" ht="24.6" x14ac:dyDescent="0.55000000000000004">
      <c r="A43" s="18" t="s">
        <v>103</v>
      </c>
      <c r="B43" s="18" t="s">
        <v>203</v>
      </c>
      <c r="C43" s="18" t="s">
        <v>201</v>
      </c>
      <c r="D43" s="18">
        <v>200</v>
      </c>
    </row>
    <row r="44" spans="1:4" ht="24.6" x14ac:dyDescent="0.55000000000000004">
      <c r="A44" s="16"/>
      <c r="B44" s="16" t="s">
        <v>204</v>
      </c>
      <c r="C44" s="16" t="s">
        <v>201</v>
      </c>
      <c r="D44" s="16">
        <v>200</v>
      </c>
    </row>
    <row r="45" spans="1:4" ht="24.6" x14ac:dyDescent="0.55000000000000004">
      <c r="A45" s="18" t="s">
        <v>103</v>
      </c>
      <c r="B45" s="18" t="s">
        <v>205</v>
      </c>
      <c r="C45" s="18" t="s">
        <v>201</v>
      </c>
      <c r="D45" s="18">
        <v>200</v>
      </c>
    </row>
    <row r="46" spans="1:4" ht="24.6" x14ac:dyDescent="0.55000000000000004">
      <c r="A46" s="16"/>
      <c r="B46" s="16" t="s">
        <v>206</v>
      </c>
      <c r="C46" s="16" t="s">
        <v>201</v>
      </c>
      <c r="D46" s="16">
        <v>200</v>
      </c>
    </row>
    <row r="47" spans="1:4" ht="24.6" x14ac:dyDescent="0.55000000000000004">
      <c r="A47" s="18" t="s">
        <v>103</v>
      </c>
      <c r="B47" s="18" t="s">
        <v>207</v>
      </c>
      <c r="C47" s="18" t="s">
        <v>201</v>
      </c>
      <c r="D47" s="18">
        <v>200</v>
      </c>
    </row>
    <row r="48" spans="1:4" ht="24.6" x14ac:dyDescent="0.55000000000000004">
      <c r="A48" s="16" t="s">
        <v>103</v>
      </c>
      <c r="B48" s="16" t="s">
        <v>208</v>
      </c>
      <c r="C48" s="16" t="s">
        <v>201</v>
      </c>
      <c r="D48" s="16">
        <v>200</v>
      </c>
    </row>
    <row r="49" spans="1:4" ht="24.6" x14ac:dyDescent="0.55000000000000004">
      <c r="A49" s="18" t="s">
        <v>103</v>
      </c>
      <c r="B49" s="18" t="s">
        <v>209</v>
      </c>
      <c r="C49" s="18" t="s">
        <v>201</v>
      </c>
      <c r="D49" s="18">
        <v>200</v>
      </c>
    </row>
    <row r="50" spans="1:4" ht="24.6" x14ac:dyDescent="0.55000000000000004">
      <c r="A50" s="16" t="s">
        <v>103</v>
      </c>
      <c r="B50" s="16" t="s">
        <v>210</v>
      </c>
      <c r="C50" s="16" t="s">
        <v>149</v>
      </c>
      <c r="D50" s="16">
        <v>200</v>
      </c>
    </row>
    <row r="51" spans="1:4" ht="24.6" x14ac:dyDescent="0.55000000000000004">
      <c r="A51" s="18" t="s">
        <v>103</v>
      </c>
      <c r="B51" s="18" t="s">
        <v>211</v>
      </c>
      <c r="C51" s="18" t="s">
        <v>201</v>
      </c>
      <c r="D51" s="18">
        <v>200</v>
      </c>
    </row>
    <row r="52" spans="1:4" ht="24.6" x14ac:dyDescent="0.55000000000000004">
      <c r="A52" s="16" t="s">
        <v>103</v>
      </c>
      <c r="B52" s="16" t="s">
        <v>212</v>
      </c>
      <c r="C52" s="16" t="s">
        <v>149</v>
      </c>
      <c r="D52" s="16">
        <v>200</v>
      </c>
    </row>
    <row r="53" spans="1:4" ht="24.6" x14ac:dyDescent="0.55000000000000004">
      <c r="A53" s="18"/>
      <c r="B53" s="18" t="s">
        <v>213</v>
      </c>
      <c r="C53" s="18" t="s">
        <v>201</v>
      </c>
      <c r="D53" s="18">
        <v>200</v>
      </c>
    </row>
    <row r="54" spans="1:4" ht="24.6" x14ac:dyDescent="0.55000000000000004">
      <c r="A54" s="16" t="s">
        <v>103</v>
      </c>
      <c r="B54" s="16" t="s">
        <v>214</v>
      </c>
      <c r="C54" s="16" t="s">
        <v>201</v>
      </c>
      <c r="D54" s="16">
        <v>200</v>
      </c>
    </row>
    <row r="55" spans="1:4" ht="24.6" x14ac:dyDescent="0.55000000000000004">
      <c r="A55" s="18" t="s">
        <v>107</v>
      </c>
      <c r="B55" s="18" t="s">
        <v>215</v>
      </c>
      <c r="C55" s="18" t="s">
        <v>149</v>
      </c>
      <c r="D55" s="18">
        <v>200</v>
      </c>
    </row>
    <row r="56" spans="1:4" ht="24.6" x14ac:dyDescent="0.55000000000000004">
      <c r="A56" s="16" t="s">
        <v>107</v>
      </c>
      <c r="B56" s="16" t="s">
        <v>216</v>
      </c>
      <c r="C56" s="16" t="s">
        <v>201</v>
      </c>
      <c r="D56" s="16">
        <v>200</v>
      </c>
    </row>
    <row r="57" spans="1:4" ht="24.6" x14ac:dyDescent="0.55000000000000004">
      <c r="A57" s="18" t="s">
        <v>107</v>
      </c>
      <c r="B57" s="18" t="s">
        <v>217</v>
      </c>
      <c r="C57" s="18" t="s">
        <v>149</v>
      </c>
      <c r="D57" s="18">
        <v>200</v>
      </c>
    </row>
    <row r="58" spans="1:4" ht="24.6" x14ac:dyDescent="0.55000000000000004">
      <c r="A58" s="16" t="s">
        <v>107</v>
      </c>
      <c r="B58" s="16" t="s">
        <v>218</v>
      </c>
      <c r="C58" s="16" t="s">
        <v>201</v>
      </c>
      <c r="D58" s="16">
        <v>200</v>
      </c>
    </row>
    <row r="59" spans="1:4" ht="24.6" x14ac:dyDescent="0.55000000000000004">
      <c r="A59" s="18" t="s">
        <v>107</v>
      </c>
      <c r="B59" s="18" t="s">
        <v>219</v>
      </c>
      <c r="C59" s="18" t="s">
        <v>149</v>
      </c>
      <c r="D59" s="18">
        <v>200</v>
      </c>
    </row>
    <row r="60" spans="1:4" ht="24.6" x14ac:dyDescent="0.55000000000000004">
      <c r="A60" s="16" t="s">
        <v>107</v>
      </c>
      <c r="B60" s="16" t="s">
        <v>220</v>
      </c>
      <c r="C60" s="16" t="s">
        <v>201</v>
      </c>
      <c r="D60" s="16">
        <v>200</v>
      </c>
    </row>
    <row r="61" spans="1:4" ht="24.6" x14ac:dyDescent="0.55000000000000004">
      <c r="A61" s="18" t="s">
        <v>107</v>
      </c>
      <c r="B61" s="18" t="s">
        <v>221</v>
      </c>
      <c r="C61" s="18" t="s">
        <v>149</v>
      </c>
      <c r="D61" s="18">
        <v>200</v>
      </c>
    </row>
    <row r="62" spans="1:4" ht="24.6" x14ac:dyDescent="0.55000000000000004">
      <c r="A62" s="16" t="s">
        <v>107</v>
      </c>
      <c r="B62" s="16" t="s">
        <v>222</v>
      </c>
      <c r="C62" s="16" t="s">
        <v>149</v>
      </c>
      <c r="D62" s="16">
        <v>200</v>
      </c>
    </row>
    <row r="63" spans="1:4" ht="24.6" x14ac:dyDescent="0.55000000000000004">
      <c r="A63" s="18" t="s">
        <v>107</v>
      </c>
      <c r="B63" s="18" t="s">
        <v>223</v>
      </c>
      <c r="C63" s="18" t="s">
        <v>201</v>
      </c>
      <c r="D63" s="18">
        <v>200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zoomScaleNormal="100" workbookViewId="0">
      <pane ySplit="1" topLeftCell="A2" activePane="bottomLeft" state="frozen"/>
      <selection pane="bottomLeft"/>
    </sheetView>
  </sheetViews>
  <sheetFormatPr baseColWidth="10" defaultColWidth="8.68359375" defaultRowHeight="14.4" x14ac:dyDescent="0.55000000000000004"/>
  <cols>
    <col min="1" max="4" width="22" customWidth="1"/>
    <col min="5" max="5" width="55" customWidth="1"/>
    <col min="6" max="6" width="22" customWidth="1"/>
  </cols>
  <sheetData>
    <row r="1" spans="1:6" x14ac:dyDescent="0.55000000000000004">
      <c r="A1" s="22" t="s">
        <v>224</v>
      </c>
      <c r="B1" s="22" t="s">
        <v>37</v>
      </c>
      <c r="C1" s="22" t="s">
        <v>225</v>
      </c>
      <c r="D1" s="22" t="s">
        <v>226</v>
      </c>
      <c r="E1" s="22" t="s">
        <v>227</v>
      </c>
      <c r="F1" s="22" t="s">
        <v>228</v>
      </c>
    </row>
    <row r="2" spans="1:6" x14ac:dyDescent="0.55000000000000004">
      <c r="A2" s="16">
        <v>1787746656708</v>
      </c>
      <c r="B2" s="16"/>
      <c r="C2" s="16" t="s">
        <v>229</v>
      </c>
      <c r="D2" s="16"/>
      <c r="E2" s="16" t="s">
        <v>230</v>
      </c>
      <c r="F2" s="16" t="b">
        <f>FALSE()</f>
        <v>0</v>
      </c>
    </row>
    <row r="3" spans="1:6" x14ac:dyDescent="0.55000000000000004">
      <c r="A3" s="18">
        <v>9000001</v>
      </c>
      <c r="B3" s="18"/>
      <c r="C3" s="18" t="s">
        <v>231</v>
      </c>
      <c r="D3" s="18" t="s">
        <v>232</v>
      </c>
      <c r="E3" s="18" t="s">
        <v>233</v>
      </c>
      <c r="F3" s="18" t="b">
        <f>TRUE()</f>
        <v>1</v>
      </c>
    </row>
    <row r="4" spans="1:6" x14ac:dyDescent="0.55000000000000004">
      <c r="A4" s="16">
        <v>9000002</v>
      </c>
      <c r="B4" s="16"/>
      <c r="C4" s="16" t="s">
        <v>234</v>
      </c>
      <c r="D4" s="16" t="s">
        <v>235</v>
      </c>
      <c r="E4" s="16" t="s">
        <v>236</v>
      </c>
      <c r="F4" s="16" t="b">
        <f>TRUE()</f>
        <v>1</v>
      </c>
    </row>
    <row r="5" spans="1:6" x14ac:dyDescent="0.55000000000000004">
      <c r="A5" s="18">
        <v>9000003</v>
      </c>
      <c r="B5" s="18"/>
      <c r="C5" s="18" t="s">
        <v>237</v>
      </c>
      <c r="D5" s="18" t="s">
        <v>238</v>
      </c>
      <c r="E5" s="18" t="s">
        <v>239</v>
      </c>
      <c r="F5" s="18" t="b">
        <f>TRUE()</f>
        <v>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9"/>
  <sheetViews>
    <sheetView zoomScaleNormal="100" workbookViewId="0">
      <selection activeCell="B25" sqref="B25"/>
    </sheetView>
  </sheetViews>
  <sheetFormatPr baseColWidth="10" defaultColWidth="8.68359375" defaultRowHeight="14.4" x14ac:dyDescent="0.55000000000000004"/>
  <cols>
    <col min="1" max="1" width="34" customWidth="1"/>
    <col min="2" max="2" width="16" customWidth="1"/>
    <col min="3" max="3" width="12" customWidth="1"/>
    <col min="4" max="4" width="60" customWidth="1"/>
  </cols>
  <sheetData>
    <row r="1" spans="1:4" ht="17.7" x14ac:dyDescent="0.6">
      <c r="A1" s="14" t="s">
        <v>314</v>
      </c>
      <c r="B1" s="14"/>
      <c r="C1" s="14"/>
      <c r="D1" s="14"/>
    </row>
    <row r="3" spans="1:4" ht="15.3" x14ac:dyDescent="0.55000000000000004">
      <c r="A3" s="5" t="s">
        <v>315</v>
      </c>
      <c r="B3" s="5"/>
      <c r="C3" s="5"/>
      <c r="D3" s="5"/>
    </row>
    <row r="4" spans="1:4" x14ac:dyDescent="0.55000000000000004">
      <c r="A4" s="27" t="s">
        <v>316</v>
      </c>
      <c r="B4" s="26">
        <f>COUNTA(REQUEST!$F$2:$F$28)</f>
        <v>27</v>
      </c>
    </row>
    <row r="5" spans="1:4" x14ac:dyDescent="0.55000000000000004">
      <c r="A5" s="27" t="s">
        <v>317</v>
      </c>
      <c r="B5" s="26">
        <f>COUNTA(CLIENTS!$A$2:$A$2)</f>
        <v>1</v>
      </c>
    </row>
    <row r="6" spans="1:4" x14ac:dyDescent="0.55000000000000004">
      <c r="A6" s="27" t="s">
        <v>318</v>
      </c>
      <c r="B6" s="26">
        <f>COUNTA(JUDGE!$O$2:$O$7)</f>
        <v>6</v>
      </c>
    </row>
    <row r="7" spans="1:4" x14ac:dyDescent="0.55000000000000004">
      <c r="A7" s="27" t="s">
        <v>319</v>
      </c>
      <c r="B7" s="26">
        <f>COUNTA(WORKER!$B$2:$B$63)</f>
        <v>62</v>
      </c>
    </row>
    <row r="8" spans="1:4" x14ac:dyDescent="0.55000000000000004">
      <c r="A8" s="27" t="s">
        <v>320</v>
      </c>
      <c r="B8" s="26">
        <f>COUNTIF(ERRORS!$F$2:$F$5,FALSE())</f>
        <v>1</v>
      </c>
    </row>
    <row r="9" spans="1:4" x14ac:dyDescent="0.55000000000000004">
      <c r="A9" s="27" t="s">
        <v>321</v>
      </c>
      <c r="B9" s="26">
        <f>COUNTIF(ERRORS!$F$2:$F$5,TRUE())</f>
        <v>3</v>
      </c>
    </row>
    <row r="11" spans="1:4" ht="15.3" x14ac:dyDescent="0.55000000000000004">
      <c r="A11" s="4" t="s">
        <v>322</v>
      </c>
      <c r="B11" s="4"/>
      <c r="C11" s="4"/>
      <c r="D11" s="4"/>
    </row>
    <row r="12" spans="1:4" x14ac:dyDescent="0.55000000000000004">
      <c r="A12" s="28" t="s">
        <v>323</v>
      </c>
      <c r="B12" s="28" t="s">
        <v>324</v>
      </c>
      <c r="C12" s="28" t="s">
        <v>325</v>
      </c>
    </row>
    <row r="13" spans="1:4" x14ac:dyDescent="0.55000000000000004">
      <c r="A13" s="27" t="s">
        <v>47</v>
      </c>
      <c r="B13" s="27">
        <f>COUNTIF(REQUEST!$H$2:$H$28,"APROBADO")</f>
        <v>14</v>
      </c>
      <c r="C13" s="29">
        <f>B13/SUM($B$13:$B$17)</f>
        <v>0.51851851851851849</v>
      </c>
    </row>
    <row r="14" spans="1:4" x14ac:dyDescent="0.55000000000000004">
      <c r="A14" s="27" t="s">
        <v>57</v>
      </c>
      <c r="B14" s="27">
        <f>COUNTIF(REQUEST!$H$2:$H$28,"CANCELADO")</f>
        <v>3</v>
      </c>
      <c r="C14" s="29">
        <f>B14/SUM($B$13:$B$17)</f>
        <v>0.1111111111111111</v>
      </c>
    </row>
    <row r="15" spans="1:4" x14ac:dyDescent="0.55000000000000004">
      <c r="A15" s="27" t="s">
        <v>75</v>
      </c>
      <c r="B15" s="27">
        <f>COUNTIF(REQUEST!$H$2:$H$28,"EN_PROCESO")</f>
        <v>10</v>
      </c>
      <c r="C15" s="29">
        <f>B15/SUM($B$13:$B$17)</f>
        <v>0.37037037037037035</v>
      </c>
    </row>
    <row r="16" spans="1:4" x14ac:dyDescent="0.55000000000000004">
      <c r="A16" s="27" t="s">
        <v>326</v>
      </c>
      <c r="B16" s="27">
        <f>COUNTIF(REQUEST!$H$2:$H$28,"SIN_CLASIFICAR")</f>
        <v>0</v>
      </c>
      <c r="C16" s="29">
        <f>B16/SUM($B$13:$B$17)</f>
        <v>0</v>
      </c>
    </row>
    <row r="17" spans="1:4" x14ac:dyDescent="0.55000000000000004">
      <c r="A17" s="27" t="s">
        <v>327</v>
      </c>
      <c r="B17" s="27">
        <f>COUNTIF(REQUEST!$H$2:$H$28,"SIN_DATO")</f>
        <v>0</v>
      </c>
      <c r="C17" s="29">
        <f>B17/SUM($B$13:$B$17)</f>
        <v>0</v>
      </c>
    </row>
    <row r="19" spans="1:4" ht="15.3" x14ac:dyDescent="0.55000000000000004">
      <c r="A19" s="3" t="s">
        <v>328</v>
      </c>
      <c r="B19" s="3"/>
      <c r="C19" s="3"/>
      <c r="D19" s="3"/>
    </row>
    <row r="20" spans="1:4" x14ac:dyDescent="0.55000000000000004">
      <c r="A20" s="28" t="s">
        <v>329</v>
      </c>
      <c r="B20" s="28" t="s">
        <v>324</v>
      </c>
      <c r="C20" s="28" t="s">
        <v>325</v>
      </c>
    </row>
    <row r="21" spans="1:4" x14ac:dyDescent="0.55000000000000004">
      <c r="A21" s="27" t="s">
        <v>106</v>
      </c>
      <c r="B21" s="27">
        <f>COUNTIF(JUDGE!$K$2:$K$7,"ACEPTADO")</f>
        <v>3</v>
      </c>
      <c r="C21" s="29">
        <f>B21/SUM($B$21:$B$23)</f>
        <v>0.5</v>
      </c>
    </row>
    <row r="22" spans="1:4" x14ac:dyDescent="0.55000000000000004">
      <c r="A22" s="27" t="s">
        <v>129</v>
      </c>
      <c r="B22" s="27">
        <f>COUNTIF(JUDGE!$K$2:$K$7,"CORREGIR")</f>
        <v>2</v>
      </c>
      <c r="C22" s="29">
        <f>B22/SUM($B$21:$B$23)</f>
        <v>0.33333333333333331</v>
      </c>
    </row>
    <row r="23" spans="1:4" x14ac:dyDescent="0.55000000000000004">
      <c r="A23" s="27" t="s">
        <v>124</v>
      </c>
      <c r="B23" s="27">
        <f>COUNTIF(JUDGE!$K$2:$K$7,"RECHAZADO")</f>
        <v>1</v>
      </c>
      <c r="C23" s="29">
        <f>B23/SUM($B$21:$B$23)</f>
        <v>0.16666666666666666</v>
      </c>
    </row>
    <row r="25" spans="1:4" x14ac:dyDescent="0.55000000000000004">
      <c r="A25" s="27" t="s">
        <v>330</v>
      </c>
      <c r="B25" s="30">
        <f>AVERAGE(JUDGE!$J$2:$J$7)</f>
        <v>3.6666666666666665</v>
      </c>
    </row>
    <row r="26" spans="1:4" x14ac:dyDescent="0.55000000000000004">
      <c r="A26" s="27" t="s">
        <v>331</v>
      </c>
      <c r="B26" s="31">
        <f>COUNTIF(JUDGE!$K$2:$K$7,"ACEPTADO")/COUNTA(JUDGE!$O$2:$O$7)</f>
        <v>0.5</v>
      </c>
    </row>
    <row r="28" spans="1:4" ht="15.3" x14ac:dyDescent="0.55000000000000004">
      <c r="A28" s="2" t="s">
        <v>332</v>
      </c>
      <c r="B28" s="2"/>
      <c r="C28" s="2"/>
      <c r="D28" s="2"/>
    </row>
    <row r="29" spans="1:4" x14ac:dyDescent="0.55000000000000004">
      <c r="A29" s="28" t="s">
        <v>333</v>
      </c>
      <c r="B29" s="28" t="s">
        <v>324</v>
      </c>
    </row>
    <row r="30" spans="1:4" x14ac:dyDescent="0.55000000000000004">
      <c r="A30" s="27" t="s">
        <v>139</v>
      </c>
      <c r="B30" s="27">
        <f>COUNTIF(JUDGE!$I$2:$I$7,"NINGUNA")</f>
        <v>3</v>
      </c>
    </row>
    <row r="31" spans="1:4" x14ac:dyDescent="0.55000000000000004">
      <c r="A31" s="27" t="s">
        <v>334</v>
      </c>
      <c r="B31" s="27">
        <f>COUNTIF(JUDGE!$I$2:$I$7,"PRECIO_INEXISTENTE")</f>
        <v>0</v>
      </c>
    </row>
    <row r="32" spans="1:4" x14ac:dyDescent="0.55000000000000004">
      <c r="A32" s="27" t="s">
        <v>335</v>
      </c>
      <c r="B32" s="27">
        <f>COUNTIF(JUDGE!$I$2:$I$7,"PRODUCTO_INVENTADO")</f>
        <v>0</v>
      </c>
    </row>
    <row r="33" spans="1:4" x14ac:dyDescent="0.55000000000000004">
      <c r="A33" s="27" t="s">
        <v>123</v>
      </c>
      <c r="B33" s="27">
        <f>COUNTIF(JUDGE!$I$2:$I$7,"AFIRMACION_SIN_RESPALDO")</f>
        <v>3</v>
      </c>
    </row>
    <row r="34" spans="1:4" x14ac:dyDescent="0.55000000000000004">
      <c r="A34" s="27" t="s">
        <v>336</v>
      </c>
      <c r="B34" s="27">
        <f>COUNTIF(JUDGE!$I$2:$I$7,"CONTRADICCION")</f>
        <v>0</v>
      </c>
    </row>
    <row r="35" spans="1:4" x14ac:dyDescent="0.55000000000000004">
      <c r="A35" s="27" t="s">
        <v>337</v>
      </c>
      <c r="B35" s="27">
        <f>COUNTIF(JUDGE!$I$2:$I$7,"ID_PRODUCTO_INCORRECTO")</f>
        <v>0</v>
      </c>
    </row>
    <row r="36" spans="1:4" x14ac:dyDescent="0.55000000000000004">
      <c r="A36" s="27" t="s">
        <v>338</v>
      </c>
      <c r="B36" s="27">
        <f>COUNTIF(JUDGE!$I$2:$I$7,"OMISION_FORMATO")</f>
        <v>0</v>
      </c>
    </row>
    <row r="37" spans="1:4" x14ac:dyDescent="0.55000000000000004">
      <c r="A37" s="27" t="s">
        <v>339</v>
      </c>
      <c r="B37" s="27">
        <f>COUNTIF(JUDGE!$I$2:$I$7,"PUNTAJE_INCOHERENTE")</f>
        <v>0</v>
      </c>
    </row>
    <row r="38" spans="1:4" x14ac:dyDescent="0.55000000000000004">
      <c r="A38" s="27" t="s">
        <v>340</v>
      </c>
      <c r="B38" s="26" t="str">
        <f>IF(SUM($B$31:$B$37)=0,"Sin errores registrados",INDEX($A$31:$A$37,MATCH(MAX($B$31:$B$37),$B$31:$B$37,0)))</f>
        <v>AFIRMACION_SIN_RESPALDO</v>
      </c>
    </row>
    <row r="40" spans="1:4" ht="15.3" x14ac:dyDescent="0.55000000000000004">
      <c r="A40" s="4" t="s">
        <v>341</v>
      </c>
      <c r="B40" s="4"/>
      <c r="C40" s="4"/>
      <c r="D40" s="4"/>
    </row>
    <row r="41" spans="1:4" x14ac:dyDescent="0.55000000000000004">
      <c r="A41" s="28" t="s">
        <v>342</v>
      </c>
      <c r="B41" s="28" t="s">
        <v>343</v>
      </c>
    </row>
    <row r="42" spans="1:4" x14ac:dyDescent="0.55000000000000004">
      <c r="A42" s="27" t="s">
        <v>149</v>
      </c>
      <c r="B42" s="27">
        <f>COUNTIF(WORKER!$C$2:$C$63,"OBSERVABILIDAD")</f>
        <v>33</v>
      </c>
    </row>
    <row r="43" spans="1:4" x14ac:dyDescent="0.55000000000000004">
      <c r="A43" s="27" t="s">
        <v>29</v>
      </c>
      <c r="B43" s="27">
        <f>COUNTIF(WORKER!$C$2:$C$63,"SUMMARY")</f>
        <v>14</v>
      </c>
    </row>
    <row r="44" spans="1:4" x14ac:dyDescent="0.55000000000000004">
      <c r="A44" s="27" t="s">
        <v>201</v>
      </c>
      <c r="B44" s="27">
        <f>COUNTIF(WORKER!$C$2:$C$63,"JUDGE")</f>
        <v>15</v>
      </c>
    </row>
    <row r="46" spans="1:4" ht="15.3" x14ac:dyDescent="0.55000000000000004">
      <c r="A46" s="1" t="s">
        <v>344</v>
      </c>
      <c r="B46" s="1"/>
      <c r="C46" s="1"/>
      <c r="D46" s="1"/>
    </row>
    <row r="47" spans="1:4" ht="22.35" customHeight="1" x14ac:dyDescent="0.55000000000000004">
      <c r="A47" s="6" t="s">
        <v>345</v>
      </c>
      <c r="B47" s="6"/>
      <c r="C47" s="6"/>
      <c r="D47" s="6"/>
    </row>
    <row r="48" spans="1:4" x14ac:dyDescent="0.55000000000000004">
      <c r="A48" s="28" t="s">
        <v>346</v>
      </c>
      <c r="B48" s="28" t="s">
        <v>347</v>
      </c>
    </row>
    <row r="49" spans="1:2" x14ac:dyDescent="0.55000000000000004">
      <c r="A49" s="27" t="str">
        <f>RAG!B2</f>
        <v>Smart TV Samsung 55" 4K</v>
      </c>
      <c r="B49" s="27">
        <f>COUNTIF(REQUEST!$B$2:$B$28,"*"&amp;RAG!A2&amp;"*")</f>
        <v>2</v>
      </c>
    </row>
    <row r="50" spans="1:2" x14ac:dyDescent="0.55000000000000004">
      <c r="A50" s="27" t="str">
        <f>RAG!B3</f>
        <v>Heladera Whirlpool No Frost 375L</v>
      </c>
      <c r="B50" s="27">
        <f>COUNTIF(REQUEST!$B$2:$B$28,"*"&amp;RAG!A3&amp;"*")</f>
        <v>6</v>
      </c>
    </row>
    <row r="51" spans="1:2" x14ac:dyDescent="0.55000000000000004">
      <c r="A51" s="27" t="str">
        <f>RAG!B4</f>
        <v>PC de Escritorio HP i5 8GB/512GB</v>
      </c>
      <c r="B51" s="27">
        <f>COUNTIF(REQUEST!$B$2:$B$28,"*"&amp;RAG!A4&amp;"*")</f>
        <v>0</v>
      </c>
    </row>
    <row r="52" spans="1:2" x14ac:dyDescent="0.55000000000000004">
      <c r="A52" s="27" t="str">
        <f>RAG!B5</f>
        <v>Cocina Longvie 4 Hornallas</v>
      </c>
      <c r="B52" s="27">
        <f>COUNTIF(REQUEST!$B$2:$B$28,"*"&amp;RAG!A5&amp;"*")</f>
        <v>1</v>
      </c>
    </row>
    <row r="53" spans="1:2" x14ac:dyDescent="0.55000000000000004">
      <c r="A53" s="27" t="str">
        <f>RAG!B6</f>
        <v>Notebook Lenovo IdeaPad i5 16GB</v>
      </c>
      <c r="B53" s="27">
        <f>COUNTIF(REQUEST!$B$2:$B$28,"*"&amp;RAG!A6&amp;"*")</f>
        <v>0</v>
      </c>
    </row>
    <row r="54" spans="1:2" x14ac:dyDescent="0.55000000000000004">
      <c r="A54" s="27" t="str">
        <f>RAG!B7</f>
        <v>Lavarropas Drean 8kg Carga Frontal</v>
      </c>
      <c r="B54" s="27">
        <f>COUNTIF(REQUEST!$B$2:$B$28,"*"&amp;RAG!A7&amp;"*")</f>
        <v>2</v>
      </c>
    </row>
    <row r="55" spans="1:2" x14ac:dyDescent="0.55000000000000004">
      <c r="A55" s="27" t="str">
        <f>RAG!B8</f>
        <v>Microondas BGH 25L Grill</v>
      </c>
      <c r="B55" s="27">
        <f>COUNTIF(REQUEST!$B$2:$B$28,"*"&amp;RAG!A8&amp;"*")</f>
        <v>5</v>
      </c>
    </row>
    <row r="56" spans="1:2" x14ac:dyDescent="0.55000000000000004">
      <c r="A56" s="27" t="str">
        <f>RAG!B9</f>
        <v>Aire Acondicionado Split Philco 3000F</v>
      </c>
      <c r="B56" s="27">
        <f>COUNTIF(REQUEST!$B$2:$B$28,"*"&amp;RAG!A9&amp;"*")</f>
        <v>2</v>
      </c>
    </row>
    <row r="57" spans="1:2" x14ac:dyDescent="0.55000000000000004">
      <c r="A57" s="27" t="str">
        <f>RAG!B10</f>
        <v>Aspiradora Robot Xiaomi Mi Robot</v>
      </c>
      <c r="B57" s="27">
        <f>COUNTIF(REQUEST!$B$2:$B$28,"*"&amp;RAG!A10&amp;"*")</f>
        <v>2</v>
      </c>
    </row>
    <row r="58" spans="1:2" x14ac:dyDescent="0.55000000000000004">
      <c r="A58" s="27" t="str">
        <f>RAG!B11</f>
        <v>Cafetera Nespresso Essenza Mini</v>
      </c>
      <c r="B58" s="27">
        <f>COUNTIF(REQUEST!$B$2:$B$28,"*"&amp;RAG!A11&amp;"*")</f>
        <v>6</v>
      </c>
    </row>
    <row r="59" spans="1:2" x14ac:dyDescent="0.55000000000000004">
      <c r="A59" s="27" t="s">
        <v>348</v>
      </c>
      <c r="B59" s="26" t="str">
        <f>INDEX($A$49:$A$58,MATCH(MAX($B$49:$B$58),$B$49:$B$58,0))</f>
        <v>Heladera Whirlpool No Frost 375L</v>
      </c>
    </row>
  </sheetData>
  <mergeCells count="8">
    <mergeCell ref="A40:D40"/>
    <mergeCell ref="A46:D46"/>
    <mergeCell ref="A47:D47"/>
    <mergeCell ref="A1:D1"/>
    <mergeCell ref="A3:D3"/>
    <mergeCell ref="A11:D11"/>
    <mergeCell ref="A19:D19"/>
    <mergeCell ref="A28:D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73"/>
  <sheetViews>
    <sheetView tabSelected="1" zoomScaleNormal="100" workbookViewId="0">
      <selection activeCell="B71" sqref="B71:G71"/>
    </sheetView>
  </sheetViews>
  <sheetFormatPr baseColWidth="10" defaultColWidth="8.68359375" defaultRowHeight="14.4" x14ac:dyDescent="0.55000000000000004"/>
  <cols>
    <col min="1" max="1" width="4" customWidth="1"/>
    <col min="2" max="6" width="26" customWidth="1"/>
    <col min="7" max="7" width="60" customWidth="1"/>
  </cols>
  <sheetData>
    <row r="2" spans="2:7" ht="17.7" x14ac:dyDescent="0.6">
      <c r="B2" s="14" t="s">
        <v>240</v>
      </c>
      <c r="C2" s="14"/>
      <c r="D2" s="14"/>
      <c r="E2" s="14"/>
      <c r="F2" s="14"/>
      <c r="G2" s="14"/>
    </row>
    <row r="4" spans="2:7" x14ac:dyDescent="0.55000000000000004">
      <c r="B4" s="13" t="s">
        <v>241</v>
      </c>
      <c r="C4" s="13"/>
      <c r="D4" s="13"/>
      <c r="E4" s="13"/>
      <c r="F4" s="13"/>
      <c r="G4" s="13"/>
    </row>
    <row r="5" spans="2:7" x14ac:dyDescent="0.55000000000000004">
      <c r="B5" s="23" t="s">
        <v>242</v>
      </c>
      <c r="C5" s="23" t="s">
        <v>243</v>
      </c>
      <c r="D5" s="23" t="s">
        <v>244</v>
      </c>
      <c r="E5" s="12" t="s">
        <v>245</v>
      </c>
      <c r="F5" s="12"/>
      <c r="G5" s="12"/>
    </row>
    <row r="6" spans="2:7" ht="15" customHeight="1" x14ac:dyDescent="0.55000000000000004">
      <c r="B6" s="18" t="s">
        <v>0</v>
      </c>
      <c r="C6" s="18" t="s">
        <v>246</v>
      </c>
      <c r="D6" s="24" t="s">
        <v>247</v>
      </c>
      <c r="E6" s="11" t="s">
        <v>248</v>
      </c>
      <c r="F6" s="11"/>
      <c r="G6" s="11"/>
    </row>
    <row r="7" spans="2:7" ht="15" customHeight="1" x14ac:dyDescent="0.55000000000000004">
      <c r="B7" s="18" t="s">
        <v>1</v>
      </c>
      <c r="C7" s="18" t="s">
        <v>246</v>
      </c>
      <c r="D7" s="25"/>
      <c r="E7" s="11" t="s">
        <v>249</v>
      </c>
      <c r="F7" s="11"/>
      <c r="G7" s="11"/>
    </row>
    <row r="8" spans="2:7" ht="15" customHeight="1" x14ac:dyDescent="0.55000000000000004">
      <c r="B8" s="18" t="s">
        <v>2</v>
      </c>
      <c r="C8" s="18" t="s">
        <v>250</v>
      </c>
      <c r="D8" s="25"/>
      <c r="E8" s="11" t="s">
        <v>251</v>
      </c>
      <c r="F8" s="11"/>
      <c r="G8" s="11"/>
    </row>
    <row r="9" spans="2:7" ht="15" customHeight="1" x14ac:dyDescent="0.55000000000000004">
      <c r="B9" s="18" t="s">
        <v>3</v>
      </c>
      <c r="C9" s="18" t="s">
        <v>246</v>
      </c>
      <c r="D9" s="25"/>
      <c r="E9" s="11" t="s">
        <v>252</v>
      </c>
      <c r="F9" s="11"/>
      <c r="G9" s="11"/>
    </row>
    <row r="11" spans="2:7" x14ac:dyDescent="0.55000000000000004">
      <c r="B11" s="10" t="s">
        <v>253</v>
      </c>
      <c r="C11" s="10"/>
      <c r="D11" s="10"/>
      <c r="E11" s="10"/>
      <c r="F11" s="10"/>
      <c r="G11" s="10"/>
    </row>
    <row r="12" spans="2:7" x14ac:dyDescent="0.55000000000000004">
      <c r="B12" s="23" t="s">
        <v>242</v>
      </c>
      <c r="C12" s="23" t="s">
        <v>243</v>
      </c>
      <c r="D12" s="23" t="s">
        <v>244</v>
      </c>
      <c r="E12" s="12" t="s">
        <v>245</v>
      </c>
      <c r="F12" s="12"/>
      <c r="G12" s="12"/>
    </row>
    <row r="13" spans="2:7" ht="15" customHeight="1" x14ac:dyDescent="0.55000000000000004">
      <c r="B13" s="18" t="s">
        <v>26</v>
      </c>
      <c r="C13" s="18" t="s">
        <v>250</v>
      </c>
      <c r="D13" s="24" t="s">
        <v>247</v>
      </c>
      <c r="E13" s="11" t="s">
        <v>254</v>
      </c>
      <c r="F13" s="11"/>
      <c r="G13" s="11"/>
    </row>
    <row r="14" spans="2:7" ht="15" customHeight="1" x14ac:dyDescent="0.55000000000000004">
      <c r="B14" s="18" t="s">
        <v>27</v>
      </c>
      <c r="C14" s="18" t="s">
        <v>246</v>
      </c>
      <c r="D14" s="25"/>
      <c r="E14" s="11" t="s">
        <v>255</v>
      </c>
      <c r="F14" s="11"/>
      <c r="G14" s="11"/>
    </row>
    <row r="15" spans="2:7" ht="15" customHeight="1" x14ac:dyDescent="0.55000000000000004">
      <c r="B15" s="18" t="s">
        <v>28</v>
      </c>
      <c r="C15" s="18" t="s">
        <v>256</v>
      </c>
      <c r="D15" s="25"/>
      <c r="E15" s="11" t="s">
        <v>257</v>
      </c>
      <c r="F15" s="11"/>
      <c r="G15" s="11"/>
    </row>
    <row r="16" spans="2:7" ht="15" customHeight="1" x14ac:dyDescent="0.55000000000000004">
      <c r="B16" s="18" t="s">
        <v>29</v>
      </c>
      <c r="C16" s="18" t="s">
        <v>246</v>
      </c>
      <c r="D16" s="25"/>
      <c r="E16" s="11" t="s">
        <v>258</v>
      </c>
      <c r="F16" s="11"/>
      <c r="G16" s="11"/>
    </row>
    <row r="17" spans="2:7" ht="15" customHeight="1" x14ac:dyDescent="0.55000000000000004">
      <c r="B17" s="18" t="s">
        <v>30</v>
      </c>
      <c r="C17" s="18" t="s">
        <v>246</v>
      </c>
      <c r="D17" s="25"/>
      <c r="E17" s="11" t="s">
        <v>259</v>
      </c>
      <c r="F17" s="11"/>
      <c r="G17" s="11"/>
    </row>
    <row r="18" spans="2:7" ht="15" customHeight="1" x14ac:dyDescent="0.55000000000000004">
      <c r="B18" s="18" t="s">
        <v>31</v>
      </c>
      <c r="C18" s="18" t="s">
        <v>260</v>
      </c>
      <c r="D18" s="25"/>
      <c r="E18" s="11" t="s">
        <v>261</v>
      </c>
      <c r="F18" s="11"/>
      <c r="G18" s="11"/>
    </row>
    <row r="19" spans="2:7" ht="15" customHeight="1" x14ac:dyDescent="0.55000000000000004">
      <c r="B19" s="18" t="s">
        <v>32</v>
      </c>
      <c r="C19" s="18" t="s">
        <v>250</v>
      </c>
      <c r="D19" s="25"/>
      <c r="E19" s="11" t="s">
        <v>262</v>
      </c>
      <c r="F19" s="11"/>
      <c r="G19" s="11"/>
    </row>
    <row r="21" spans="2:7" x14ac:dyDescent="0.55000000000000004">
      <c r="B21" s="13" t="s">
        <v>263</v>
      </c>
      <c r="C21" s="13"/>
      <c r="D21" s="13"/>
      <c r="E21" s="13"/>
      <c r="F21" s="13"/>
      <c r="G21" s="13"/>
    </row>
    <row r="22" spans="2:7" x14ac:dyDescent="0.55000000000000004">
      <c r="B22" s="23" t="s">
        <v>242</v>
      </c>
      <c r="C22" s="23" t="s">
        <v>243</v>
      </c>
      <c r="D22" s="23" t="s">
        <v>244</v>
      </c>
      <c r="E22" s="12" t="s">
        <v>245</v>
      </c>
      <c r="F22" s="12"/>
      <c r="G22" s="12"/>
    </row>
    <row r="23" spans="2:7" ht="15" customHeight="1" x14ac:dyDescent="0.55000000000000004">
      <c r="B23" s="18" t="s">
        <v>37</v>
      </c>
      <c r="C23" s="18" t="s">
        <v>246</v>
      </c>
      <c r="D23" s="24" t="s">
        <v>247</v>
      </c>
      <c r="E23" s="11" t="s">
        <v>264</v>
      </c>
      <c r="F23" s="11"/>
      <c r="G23" s="11"/>
    </row>
    <row r="24" spans="2:7" ht="15" customHeight="1" x14ac:dyDescent="0.55000000000000004">
      <c r="B24" s="18" t="s">
        <v>0</v>
      </c>
      <c r="C24" s="18" t="s">
        <v>246</v>
      </c>
      <c r="D24" s="24" t="s">
        <v>265</v>
      </c>
      <c r="E24" s="11" t="s">
        <v>266</v>
      </c>
      <c r="F24" s="11"/>
      <c r="G24" s="11"/>
    </row>
    <row r="25" spans="2:7" ht="15" customHeight="1" x14ac:dyDescent="0.55000000000000004">
      <c r="B25" s="18" t="s">
        <v>38</v>
      </c>
      <c r="C25" s="18" t="s">
        <v>267</v>
      </c>
      <c r="D25" s="25"/>
      <c r="E25" s="11" t="s">
        <v>268</v>
      </c>
      <c r="F25" s="11"/>
      <c r="G25" s="11"/>
    </row>
    <row r="26" spans="2:7" ht="15" customHeight="1" x14ac:dyDescent="0.55000000000000004">
      <c r="B26" s="18" t="s">
        <v>26</v>
      </c>
      <c r="C26" s="18" t="s">
        <v>250</v>
      </c>
      <c r="D26" s="24" t="s">
        <v>269</v>
      </c>
      <c r="E26" s="11" t="s">
        <v>270</v>
      </c>
      <c r="F26" s="11"/>
      <c r="G26" s="11"/>
    </row>
    <row r="27" spans="2:7" ht="15" customHeight="1" x14ac:dyDescent="0.55000000000000004">
      <c r="B27" s="18" t="s">
        <v>39</v>
      </c>
      <c r="C27" s="18" t="s">
        <v>246</v>
      </c>
      <c r="D27" s="25"/>
      <c r="E27" s="11" t="s">
        <v>271</v>
      </c>
      <c r="F27" s="11"/>
      <c r="G27" s="11"/>
    </row>
    <row r="28" spans="2:7" ht="15" customHeight="1" x14ac:dyDescent="0.55000000000000004">
      <c r="B28" s="18" t="s">
        <v>40</v>
      </c>
      <c r="C28" s="18" t="s">
        <v>246</v>
      </c>
      <c r="D28" s="25"/>
      <c r="E28" s="11" t="s">
        <v>272</v>
      </c>
      <c r="F28" s="11"/>
      <c r="G28" s="11"/>
    </row>
    <row r="29" spans="2:7" ht="15" customHeight="1" x14ac:dyDescent="0.55000000000000004">
      <c r="B29" s="18" t="s">
        <v>41</v>
      </c>
      <c r="C29" s="18" t="s">
        <v>246</v>
      </c>
      <c r="D29" s="25"/>
      <c r="E29" s="11" t="s">
        <v>273</v>
      </c>
      <c r="F29" s="11"/>
      <c r="G29" s="11"/>
    </row>
    <row r="30" spans="2:7" ht="15" customHeight="1" x14ac:dyDescent="0.55000000000000004">
      <c r="B30" s="18" t="s">
        <v>42</v>
      </c>
      <c r="C30" s="18" t="s">
        <v>246</v>
      </c>
      <c r="D30" s="25"/>
      <c r="E30" s="11" t="s">
        <v>274</v>
      </c>
      <c r="F30" s="11"/>
      <c r="G30" s="11"/>
    </row>
    <row r="31" spans="2:7" ht="15" customHeight="1" x14ac:dyDescent="0.55000000000000004">
      <c r="B31" s="18" t="s">
        <v>43</v>
      </c>
      <c r="C31" s="18" t="s">
        <v>246</v>
      </c>
      <c r="D31" s="25"/>
      <c r="E31" s="11" t="s">
        <v>275</v>
      </c>
      <c r="F31" s="11"/>
      <c r="G31" s="11"/>
    </row>
    <row r="33" spans="2:7" x14ac:dyDescent="0.55000000000000004">
      <c r="B33" s="9" t="s">
        <v>276</v>
      </c>
      <c r="C33" s="9"/>
      <c r="D33" s="9"/>
      <c r="E33" s="9"/>
      <c r="F33" s="9"/>
      <c r="G33" s="9"/>
    </row>
    <row r="34" spans="2:7" x14ac:dyDescent="0.55000000000000004">
      <c r="B34" s="23" t="s">
        <v>242</v>
      </c>
      <c r="C34" s="23" t="s">
        <v>243</v>
      </c>
      <c r="D34" s="23" t="s">
        <v>244</v>
      </c>
      <c r="E34" s="12" t="s">
        <v>245</v>
      </c>
      <c r="F34" s="12"/>
      <c r="G34" s="12"/>
    </row>
    <row r="35" spans="2:7" ht="15" customHeight="1" x14ac:dyDescent="0.55000000000000004">
      <c r="B35" s="18" t="s">
        <v>37</v>
      </c>
      <c r="C35" s="18" t="s">
        <v>246</v>
      </c>
      <c r="D35" s="24" t="s">
        <v>277</v>
      </c>
      <c r="E35" s="11" t="s">
        <v>278</v>
      </c>
      <c r="F35" s="11"/>
      <c r="G35" s="11"/>
    </row>
    <row r="36" spans="2:7" ht="23.85" customHeight="1" x14ac:dyDescent="0.55000000000000004">
      <c r="B36" s="18" t="s">
        <v>279</v>
      </c>
      <c r="C36" s="18" t="s">
        <v>246</v>
      </c>
      <c r="D36" s="25"/>
      <c r="E36" s="11" t="s">
        <v>280</v>
      </c>
      <c r="F36" s="11"/>
      <c r="G36" s="11"/>
    </row>
    <row r="37" spans="2:7" ht="15" customHeight="1" x14ac:dyDescent="0.55000000000000004">
      <c r="B37" s="18" t="s">
        <v>111</v>
      </c>
      <c r="C37" s="18" t="s">
        <v>250</v>
      </c>
      <c r="D37" s="25"/>
      <c r="E37" s="11" t="s">
        <v>281</v>
      </c>
      <c r="F37" s="11"/>
      <c r="G37" s="11"/>
    </row>
    <row r="38" spans="2:7" ht="23.85" customHeight="1" x14ac:dyDescent="0.55000000000000004">
      <c r="B38" s="18" t="s">
        <v>282</v>
      </c>
      <c r="C38" s="18" t="s">
        <v>260</v>
      </c>
      <c r="D38" s="25"/>
      <c r="E38" s="11" t="s">
        <v>283</v>
      </c>
      <c r="F38" s="11"/>
      <c r="G38" s="11"/>
    </row>
    <row r="39" spans="2:7" ht="15" customHeight="1" x14ac:dyDescent="0.55000000000000004">
      <c r="B39" s="18" t="s">
        <v>284</v>
      </c>
      <c r="C39" s="18" t="s">
        <v>246</v>
      </c>
      <c r="D39" s="25"/>
      <c r="E39" s="11" t="s">
        <v>285</v>
      </c>
      <c r="F39" s="11"/>
      <c r="G39" s="11"/>
    </row>
    <row r="40" spans="2:7" ht="15" customHeight="1" x14ac:dyDescent="0.55000000000000004">
      <c r="B40" s="18" t="s">
        <v>115</v>
      </c>
      <c r="C40" s="18" t="s">
        <v>246</v>
      </c>
      <c r="D40" s="25"/>
      <c r="E40" s="11" t="s">
        <v>286</v>
      </c>
      <c r="F40" s="11"/>
      <c r="G40" s="11"/>
    </row>
    <row r="41" spans="2:7" ht="15" customHeight="1" x14ac:dyDescent="0.55000000000000004">
      <c r="B41" s="18" t="s">
        <v>116</v>
      </c>
      <c r="C41" s="18" t="s">
        <v>287</v>
      </c>
      <c r="D41" s="25"/>
      <c r="E41" s="11" t="s">
        <v>288</v>
      </c>
      <c r="F41" s="11"/>
      <c r="G41" s="11"/>
    </row>
    <row r="42" spans="2:7" ht="15" customHeight="1" x14ac:dyDescent="0.55000000000000004">
      <c r="B42" s="18" t="s">
        <v>43</v>
      </c>
      <c r="C42" s="18" t="s">
        <v>246</v>
      </c>
      <c r="D42" s="25"/>
      <c r="E42" s="11" t="s">
        <v>289</v>
      </c>
      <c r="F42" s="11"/>
      <c r="G42" s="11"/>
    </row>
    <row r="43" spans="2:7" ht="15" customHeight="1" x14ac:dyDescent="0.55000000000000004">
      <c r="B43" s="18" t="s">
        <v>118</v>
      </c>
      <c r="C43" s="18" t="s">
        <v>267</v>
      </c>
      <c r="D43" s="25"/>
      <c r="E43" s="11" t="s">
        <v>290</v>
      </c>
      <c r="F43" s="11"/>
      <c r="G43" s="11"/>
    </row>
    <row r="44" spans="2:7" ht="15" customHeight="1" x14ac:dyDescent="0.55000000000000004">
      <c r="B44" s="18" t="s">
        <v>119</v>
      </c>
      <c r="C44" s="18" t="s">
        <v>250</v>
      </c>
      <c r="D44" s="25"/>
      <c r="E44" s="11" t="s">
        <v>291</v>
      </c>
      <c r="F44" s="11"/>
      <c r="G44" s="11"/>
    </row>
    <row r="45" spans="2:7" ht="15" customHeight="1" x14ac:dyDescent="0.55000000000000004">
      <c r="B45" s="18" t="s">
        <v>120</v>
      </c>
      <c r="C45" s="18" t="s">
        <v>256</v>
      </c>
      <c r="D45" s="25"/>
      <c r="E45" s="11" t="s">
        <v>292</v>
      </c>
      <c r="F45" s="11"/>
      <c r="G45" s="11"/>
    </row>
    <row r="47" spans="2:7" x14ac:dyDescent="0.55000000000000004">
      <c r="B47" s="10" t="s">
        <v>293</v>
      </c>
      <c r="C47" s="10"/>
      <c r="D47" s="10"/>
      <c r="E47" s="10"/>
      <c r="F47" s="10"/>
      <c r="G47" s="10"/>
    </row>
    <row r="48" spans="2:7" x14ac:dyDescent="0.55000000000000004">
      <c r="B48" s="23" t="s">
        <v>242</v>
      </c>
      <c r="C48" s="23" t="s">
        <v>243</v>
      </c>
      <c r="D48" s="23" t="s">
        <v>244</v>
      </c>
      <c r="E48" s="12" t="s">
        <v>245</v>
      </c>
      <c r="F48" s="12"/>
      <c r="G48" s="12"/>
    </row>
    <row r="49" spans="2:7" ht="15" customHeight="1" x14ac:dyDescent="0.55000000000000004">
      <c r="B49" s="18" t="s">
        <v>37</v>
      </c>
      <c r="C49" s="18" t="s">
        <v>246</v>
      </c>
      <c r="D49" s="24" t="s">
        <v>277</v>
      </c>
      <c r="E49" s="11" t="s">
        <v>294</v>
      </c>
      <c r="F49" s="11"/>
      <c r="G49" s="11"/>
    </row>
    <row r="50" spans="2:7" ht="15" customHeight="1" x14ac:dyDescent="0.55000000000000004">
      <c r="B50" s="18" t="s">
        <v>145</v>
      </c>
      <c r="C50" s="18" t="s">
        <v>256</v>
      </c>
      <c r="D50" s="25"/>
      <c r="E50" s="11" t="s">
        <v>295</v>
      </c>
      <c r="F50" s="11"/>
      <c r="G50" s="11"/>
    </row>
    <row r="51" spans="2:7" ht="15" customHeight="1" x14ac:dyDescent="0.55000000000000004">
      <c r="B51" s="18" t="s">
        <v>146</v>
      </c>
      <c r="C51" s="18" t="s">
        <v>246</v>
      </c>
      <c r="D51" s="25"/>
      <c r="E51" s="11" t="s">
        <v>296</v>
      </c>
      <c r="F51" s="11"/>
      <c r="G51" s="11"/>
    </row>
    <row r="52" spans="2:7" ht="15" customHeight="1" x14ac:dyDescent="0.55000000000000004">
      <c r="B52" s="18" t="s">
        <v>147</v>
      </c>
      <c r="C52" s="18" t="s">
        <v>250</v>
      </c>
      <c r="D52" s="25"/>
      <c r="E52" s="11" t="s">
        <v>297</v>
      </c>
      <c r="F52" s="11"/>
      <c r="G52" s="11"/>
    </row>
    <row r="54" spans="2:7" x14ac:dyDescent="0.55000000000000004">
      <c r="B54" s="8" t="s">
        <v>298</v>
      </c>
      <c r="C54" s="8"/>
      <c r="D54" s="8"/>
      <c r="E54" s="8"/>
      <c r="F54" s="8"/>
      <c r="G54" s="8"/>
    </row>
    <row r="55" spans="2:7" x14ac:dyDescent="0.55000000000000004">
      <c r="B55" s="23" t="s">
        <v>242</v>
      </c>
      <c r="C55" s="23" t="s">
        <v>243</v>
      </c>
      <c r="D55" s="23" t="s">
        <v>244</v>
      </c>
      <c r="E55" s="12" t="s">
        <v>245</v>
      </c>
      <c r="F55" s="12"/>
      <c r="G55" s="12"/>
    </row>
    <row r="56" spans="2:7" x14ac:dyDescent="0.55000000000000004">
      <c r="B56" s="18" t="s">
        <v>224</v>
      </c>
      <c r="C56" s="18" t="s">
        <v>250</v>
      </c>
      <c r="D56" s="24" t="s">
        <v>247</v>
      </c>
      <c r="E56" s="11"/>
      <c r="F56" s="11"/>
      <c r="G56" s="11"/>
    </row>
    <row r="57" spans="2:7" ht="15" customHeight="1" x14ac:dyDescent="0.55000000000000004">
      <c r="B57" s="18" t="s">
        <v>37</v>
      </c>
      <c r="C57" s="18" t="s">
        <v>250</v>
      </c>
      <c r="D57" s="24" t="s">
        <v>277</v>
      </c>
      <c r="E57" s="11" t="s">
        <v>299</v>
      </c>
      <c r="F57" s="11"/>
      <c r="G57" s="11"/>
    </row>
    <row r="58" spans="2:7" x14ac:dyDescent="0.55000000000000004">
      <c r="B58" s="18" t="s">
        <v>225</v>
      </c>
      <c r="C58" s="18" t="s">
        <v>300</v>
      </c>
      <c r="D58" s="25"/>
      <c r="E58" s="11"/>
      <c r="F58" s="11"/>
      <c r="G58" s="11"/>
    </row>
    <row r="59" spans="2:7" ht="15" customHeight="1" x14ac:dyDescent="0.55000000000000004">
      <c r="B59" s="18" t="s">
        <v>226</v>
      </c>
      <c r="C59" s="18" t="s">
        <v>246</v>
      </c>
      <c r="D59" s="25"/>
      <c r="E59" s="11" t="s">
        <v>301</v>
      </c>
      <c r="F59" s="11"/>
      <c r="G59" s="11"/>
    </row>
    <row r="60" spans="2:7" ht="15" customHeight="1" x14ac:dyDescent="0.55000000000000004">
      <c r="B60" s="18" t="s">
        <v>227</v>
      </c>
      <c r="C60" s="18" t="s">
        <v>246</v>
      </c>
      <c r="D60" s="25"/>
      <c r="E60" s="11" t="s">
        <v>302</v>
      </c>
      <c r="F60" s="11"/>
      <c r="G60" s="11"/>
    </row>
    <row r="61" spans="2:7" ht="15" customHeight="1" x14ac:dyDescent="0.55000000000000004">
      <c r="B61" s="18" t="s">
        <v>228</v>
      </c>
      <c r="C61" s="18" t="s">
        <v>267</v>
      </c>
      <c r="D61" s="25"/>
      <c r="E61" s="11" t="s">
        <v>303</v>
      </c>
      <c r="F61" s="11"/>
      <c r="G61" s="11"/>
    </row>
    <row r="63" spans="2:7" x14ac:dyDescent="0.55000000000000004">
      <c r="B63" s="26" t="s">
        <v>304</v>
      </c>
    </row>
    <row r="64" spans="2:7" ht="15" customHeight="1" x14ac:dyDescent="0.55000000000000004">
      <c r="B64" s="7" t="s">
        <v>305</v>
      </c>
      <c r="C64" s="7"/>
      <c r="D64" s="7"/>
      <c r="E64" s="7"/>
      <c r="F64" s="7"/>
      <c r="G64" s="7"/>
    </row>
    <row r="65" spans="2:7" ht="15" customHeight="1" x14ac:dyDescent="0.55000000000000004">
      <c r="B65" s="7" t="s">
        <v>306</v>
      </c>
      <c r="C65" s="7"/>
      <c r="D65" s="7"/>
      <c r="E65" s="7"/>
      <c r="F65" s="7"/>
      <c r="G65" s="7"/>
    </row>
    <row r="66" spans="2:7" ht="15" customHeight="1" x14ac:dyDescent="0.55000000000000004">
      <c r="B66" s="7" t="s">
        <v>307</v>
      </c>
      <c r="C66" s="7"/>
      <c r="D66" s="7"/>
      <c r="E66" s="7"/>
      <c r="F66" s="7"/>
      <c r="G66" s="7"/>
    </row>
    <row r="67" spans="2:7" ht="15" customHeight="1" x14ac:dyDescent="0.55000000000000004">
      <c r="B67" s="7" t="s">
        <v>308</v>
      </c>
      <c r="C67" s="7"/>
      <c r="D67" s="7"/>
      <c r="E67" s="7"/>
      <c r="F67" s="7"/>
      <c r="G67" s="7"/>
    </row>
    <row r="68" spans="2:7" ht="15" customHeight="1" x14ac:dyDescent="0.55000000000000004">
      <c r="B68" s="7" t="s">
        <v>309</v>
      </c>
      <c r="C68" s="7"/>
      <c r="D68" s="7"/>
      <c r="E68" s="7"/>
      <c r="F68" s="7"/>
      <c r="G68" s="7"/>
    </row>
    <row r="70" spans="2:7" x14ac:dyDescent="0.55000000000000004">
      <c r="B70" s="26" t="s">
        <v>310</v>
      </c>
    </row>
    <row r="71" spans="2:7" ht="15" customHeight="1" x14ac:dyDescent="0.55000000000000004">
      <c r="B71" s="6" t="s">
        <v>311</v>
      </c>
      <c r="C71" s="6"/>
      <c r="D71" s="6"/>
      <c r="E71" s="6"/>
      <c r="F71" s="6"/>
      <c r="G71" s="6"/>
    </row>
    <row r="72" spans="2:7" ht="15" customHeight="1" x14ac:dyDescent="0.55000000000000004">
      <c r="B72" s="6" t="s">
        <v>312</v>
      </c>
      <c r="C72" s="6"/>
      <c r="D72" s="6"/>
      <c r="E72" s="6"/>
      <c r="F72" s="6"/>
      <c r="G72" s="6"/>
    </row>
    <row r="73" spans="2:7" ht="15" customHeight="1" x14ac:dyDescent="0.55000000000000004">
      <c r="B73" s="6" t="s">
        <v>313</v>
      </c>
      <c r="C73" s="6"/>
      <c r="D73" s="6"/>
      <c r="E73" s="6"/>
      <c r="F73" s="6"/>
      <c r="G73" s="6"/>
    </row>
  </sheetData>
  <mergeCells count="62">
    <mergeCell ref="B72:G72"/>
    <mergeCell ref="B73:G73"/>
    <mergeCell ref="B65:G65"/>
    <mergeCell ref="B66:G66"/>
    <mergeCell ref="B67:G67"/>
    <mergeCell ref="B68:G68"/>
    <mergeCell ref="B71:G71"/>
    <mergeCell ref="E58:G58"/>
    <mergeCell ref="E59:G59"/>
    <mergeCell ref="E60:G60"/>
    <mergeCell ref="E61:G61"/>
    <mergeCell ref="B64:G64"/>
    <mergeCell ref="E52:G52"/>
    <mergeCell ref="B54:G54"/>
    <mergeCell ref="E55:G55"/>
    <mergeCell ref="E56:G56"/>
    <mergeCell ref="E57:G57"/>
    <mergeCell ref="B47:G47"/>
    <mergeCell ref="E48:G48"/>
    <mergeCell ref="E49:G49"/>
    <mergeCell ref="E50:G50"/>
    <mergeCell ref="E51:G51"/>
    <mergeCell ref="E41:G41"/>
    <mergeCell ref="E42:G42"/>
    <mergeCell ref="E43:G43"/>
    <mergeCell ref="E44:G44"/>
    <mergeCell ref="E45:G45"/>
    <mergeCell ref="E36:G36"/>
    <mergeCell ref="E37:G37"/>
    <mergeCell ref="E38:G38"/>
    <mergeCell ref="E39:G39"/>
    <mergeCell ref="E40:G40"/>
    <mergeCell ref="E30:G30"/>
    <mergeCell ref="E31:G31"/>
    <mergeCell ref="B33:G33"/>
    <mergeCell ref="E34:G34"/>
    <mergeCell ref="E35:G35"/>
    <mergeCell ref="E25:G25"/>
    <mergeCell ref="E26:G26"/>
    <mergeCell ref="E27:G27"/>
    <mergeCell ref="E28:G28"/>
    <mergeCell ref="E29:G29"/>
    <mergeCell ref="E19:G19"/>
    <mergeCell ref="B21:G21"/>
    <mergeCell ref="E22:G22"/>
    <mergeCell ref="E23:G23"/>
    <mergeCell ref="E24:G24"/>
    <mergeCell ref="E14:G14"/>
    <mergeCell ref="E15:G15"/>
    <mergeCell ref="E16:G16"/>
    <mergeCell ref="E17:G17"/>
    <mergeCell ref="E18:G18"/>
    <mergeCell ref="E8:G8"/>
    <mergeCell ref="E9:G9"/>
    <mergeCell ref="B11:G11"/>
    <mergeCell ref="E12:G12"/>
    <mergeCell ref="E13:G13"/>
    <mergeCell ref="B2:G2"/>
    <mergeCell ref="B4:G4"/>
    <mergeCell ref="E5:G5"/>
    <mergeCell ref="E6:G6"/>
    <mergeCell ref="E7:G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RAG</vt:lpstr>
      <vt:lpstr>CLIENTS</vt:lpstr>
      <vt:lpstr>REQUEST</vt:lpstr>
      <vt:lpstr>JUDGE</vt:lpstr>
      <vt:lpstr>WORKER</vt:lpstr>
      <vt:lpstr>ERRORS</vt:lpstr>
      <vt:lpstr>DASHBOARD</vt:lpstr>
      <vt:lpst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Jonathan Magnone</cp:lastModifiedBy>
  <cp:revision>0</cp:revision>
  <dcterms:created xsi:type="dcterms:W3CDTF">2026-09-21T02:15:42Z</dcterms:created>
  <dcterms:modified xsi:type="dcterms:W3CDTF">2026-09-21T02:24:45Z</dcterms:modified>
  <dc:language>en-US</dc:language>
</cp:coreProperties>
</file>